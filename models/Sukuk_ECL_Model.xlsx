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ortfolio" sheetId="3" state="visible" r:id="rId5"/>
    <sheet name="ECL_Calc" sheetId="4" state="visible" r:id="rId6"/>
    <sheet name="Summary" sheetId="5" state="visible" r:id="rId7"/>
    <sheet name="Check_Schedu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Amortised-cost gross carrying amount before ECL allowance (for FVOCI: amortised cost basis).</t>
        </r>
      </text>
    </comment>
    <comment ref="H5" authorId="0">
      <text>
        <r>
          <rPr>
            <sz val="10"/>
            <rFont val="Arial"/>
            <family val="2"/>
          </rPr>
          <t xml:space="preserve">Used as the discount rate for ECL (IFRS 9 B5.5.44).</t>
        </r>
      </text>
    </comment>
    <comment ref="O5" authorId="0">
      <text>
        <r>
          <rPr>
            <sz val="10"/>
            <rFont val="Arial"/>
            <family val="2"/>
          </rPr>
          <t xml:space="preserve">Optional. Leave blank to use model stage. Any override must be approved and documented.</t>
        </r>
      </text>
    </comment>
    <comment ref="P5" authorId="0">
      <text>
        <r>
          <rPr>
            <sz val="10"/>
            <rFont val="Arial"/>
            <family val="2"/>
          </rPr>
          <t xml:space="preserve">Optional. Leave blank to use LGD by structure from Assumptions.</t>
        </r>
      </text>
    </comment>
  </commentList>
</comments>
</file>

<file path=xl/sharedStrings.xml><?xml version="1.0" encoding="utf-8"?>
<sst xmlns="http://schemas.openxmlformats.org/spreadsheetml/2006/main" count="364" uniqueCount="239">
  <si>
    <t xml:space="preserve">Sukuk Expected Credit Loss (ECL) Model</t>
  </si>
  <si>
    <t xml:space="preserve">IFRS 9 / AAOIFI FAS 30 three-stage impairment model for a sukuk investment portfolio</t>
  </si>
  <si>
    <t xml:space="preserve">WORKBOOK MAP</t>
  </si>
  <si>
    <t xml:space="preserve">Cover</t>
  </si>
  <si>
    <t xml:space="preserve">This sheet: purpose, legend, methodology and limitations.</t>
  </si>
  <si>
    <t xml:space="preserve">Assumptions</t>
  </si>
  <si>
    <t xml:space="preserve">Reporting date, staging (SICR) thresholds, macro-economic scenarios &amp; weights, rating-to-PD table, LGD by sukuk structure.</t>
  </si>
  <si>
    <t xml:space="preserve">Portfolio</t>
  </si>
  <si>
    <t xml:space="preserve">One row per sukuk holding (capacity 50 rows). Enter holdings in the blue/yellow columns A:P; columns Q:Z calculate automatically.</t>
  </si>
  <si>
    <t xml:space="preserve">ECL_Calc</t>
  </si>
  <si>
    <t xml:space="preserve">Per-sukuk, per-scenario PD, LGD, 12-month and lifetime ECL, then probability-weighted ECL. No inputs.</t>
  </si>
  <si>
    <t xml:space="preserve">Summary</t>
  </si>
  <si>
    <t xml:space="preserve">ECL by stage, by sukuk structure, by accounting classification, scenario sensitivity and model integrity checks.</t>
  </si>
  <si>
    <t xml:space="preserve">Check_Schedule</t>
  </si>
  <si>
    <t xml:space="preserve">Year-by-year lifetime ECL build-up for one selected sukuk, reconciling to the closed-form result in ECL_Calc.</t>
  </si>
  <si>
    <t xml:space="preserve">COLOUR LEGEND</t>
  </si>
  <si>
    <t xml:space="preserve">Blue text</t>
  </si>
  <si>
    <t xml:space="preserve">Hard-coded input - edit these.</t>
  </si>
  <si>
    <t xml:space="preserve">Yellow fill</t>
  </si>
  <si>
    <t xml:space="preserve">Key assumption / cell the user should review or fill in.</t>
  </si>
  <si>
    <t xml:space="preserve">Black text</t>
  </si>
  <si>
    <t xml:space="preserve">Formula - do not overwrite.</t>
  </si>
  <si>
    <t xml:space="preserve">Green text</t>
  </si>
  <si>
    <t xml:space="preserve">Link pulled from another sheet.</t>
  </si>
  <si>
    <t xml:space="preserve">METHODOLOGY</t>
  </si>
  <si>
    <t xml:space="preserve">ECL formula</t>
  </si>
  <si>
    <t xml:space="preserve">ECL = Σ over scenarios [ weight_s × Σ over years t ( Marginal PD_s,t × LGD_s × EAD × DF_t ) ].  EAD = gross carrying amount + accrued profit (bullet sukuk assumed; EAD held flat to maturity).</t>
  </si>
  <si>
    <t xml:space="preserve">Staging</t>
  </si>
  <si>
    <t xml:space="preserve">Stage 3 (credit-impaired): DPD &gt; Stage-3 backstop, current rating 'D', or credit-impaired flag = Y.
Stage 2 (SICR): DPD &gt; Stage-2 backstop, watchlist = Y, or rating downgraded by ≥ the notch threshold since origination. If the low-credit-risk (LCR) exemption is ON, a downgrade alone does not trigger Stage 2 while the current rating is at or above the LCR threshold (investment grade). DPD/watchlist backstops still apply.
Stage 1: all others. A manual stage override (column O of Portfolio) takes precedence and must be documented.</t>
  </si>
  <si>
    <t xml:space="preserve">Measurement</t>
  </si>
  <si>
    <t xml:space="preserve">Stage 1 = 12-month ECL.  Stage 2 = lifetime ECL to contractual maturity.  Stage 3 = EAD × LGD (PD = 100%).</t>
  </si>
  <si>
    <t xml:space="preserve">PD</t>
  </si>
  <si>
    <t xml:space="preserve">Through-the-cycle 12-month PD from the current external/internal rating (Assumptions table). Converted to point-in-time per scenario with a PD multiplier and capped. Lifetime PD assumes a constant annual hazard: cumulative PD(t) = 1 − (1 − PD)^t; the final partial year is pro-rated on a hazard basis.</t>
  </si>
  <si>
    <t xml:space="preserve">LGD</t>
  </si>
  <si>
    <t xml:space="preserve">Set by sukuk structure: asset-backed structures (true sale, recourse to the underlying asset) carry lower LGD than asset-based structures (recourse to the obligor / purchase undertaking only). Mudaraba / Musharaka are equity-like (loss-sharing) and carry higher LGD. Per-scenario LGD multipliers capture forward-looking collateral value. A per-sukuk LGD override is available.</t>
  </si>
  <si>
    <t xml:space="preserve">Discounting</t>
  </si>
  <si>
    <t xml:space="preserve">Losses are discounted at each sukuk's effective profit rate (EIR), consistent with IFRS 9 B5.5.44.</t>
  </si>
  <si>
    <t xml:space="preserve">Forward-looking</t>
  </si>
  <si>
    <t xml:space="preserve">Three probability-weighted scenarios (Base / Upside / Downside). ECL is computed in full under each scenario and then weighted (not computed on a weighted PD), so non-linearity is captured.</t>
  </si>
  <si>
    <t xml:space="preserve">FVOCI sukuk</t>
  </si>
  <si>
    <t xml:space="preserve">For sukuk at FVOCI the allowance is recognised in OCI and does not reduce the carrying amount in the balance sheet; the ECL charge still goes to P&amp;L. Summary splits AC vs FVOCI.</t>
  </si>
  <si>
    <t xml:space="preserve">LIMITATIONS</t>
  </si>
  <si>
    <t xml:space="preserve">Illustrative inputs</t>
  </si>
  <si>
    <t xml:space="preserve">All PDs, LGDs, scenario weights/multipliers and the sample portfolio are ILLUSTRATIVE placeholders, not calibrated figures. Replace them with the institution's approved, calibrated parameters (e.g. rating-agency default studies, internal default history, macro-economic satellite models) before use.</t>
  </si>
  <si>
    <t xml:space="preserve">Simplifications</t>
  </si>
  <si>
    <t xml:space="preserve">Bullet repayment (flat EAD); constant hazard rate per rating; scenario multipliers applied uniformly across the term; no amortising/sinking-fund profiles; no prepayment. Extend ECL_Calc if the portfolio has amortising sukuk.</t>
  </si>
  <si>
    <t xml:space="preserve">Governance</t>
  </si>
  <si>
    <t xml:space="preserve">Results should be reviewed against Shariah and credit committee policies and validated independently before booking.</t>
  </si>
  <si>
    <t xml:space="preserve">Model Assumptions</t>
  </si>
  <si>
    <t xml:space="preserve">General &amp; staging parameters</t>
  </si>
  <si>
    <t xml:space="preserve">Reporting date</t>
  </si>
  <si>
    <t xml:space="preserve">Input: period-end reporting date.</t>
  </si>
  <si>
    <t xml:space="preserve">Presentation currency</t>
  </si>
  <si>
    <t xml:space="preserve">USD</t>
  </si>
  <si>
    <t xml:space="preserve">Input: all amounts in this currency (units).</t>
  </si>
  <si>
    <t xml:space="preserve">SICR: downgrade threshold (notches)</t>
  </si>
  <si>
    <t xml:space="preserve">Policy assumption: downgrade of ≥3 notches since origination = significant increase in credit risk. Align to approved IFRS 9 policy.</t>
  </si>
  <si>
    <t xml:space="preserve">Stage 2 DPD backstop (days)</t>
  </si>
  <si>
    <t xml:space="preserve">IFRS 9 5.5.11 rebuttable presumption: &gt;30 days past due.</t>
  </si>
  <si>
    <t xml:space="preserve">Stage 3 DPD backstop (days)</t>
  </si>
  <si>
    <t xml:space="preserve">IFRS 9 B5.5.37 rebuttable presumption: &gt;90 days past due = default.</t>
  </si>
  <si>
    <t xml:space="preserve">Apply low-credit-risk exemption (Y/N)</t>
  </si>
  <si>
    <t xml:space="preserve">Y</t>
  </si>
  <si>
    <t xml:space="preserve">IFRS 9 5.5.10: instruments with low credit risk (typically investment grade) may be kept in Stage 1.</t>
  </si>
  <si>
    <t xml:space="preserve">LCR threshold rating (lowest qualifying)</t>
  </si>
  <si>
    <t xml:space="preserve">BBB-</t>
  </si>
  <si>
    <t xml:space="preserve">Lowest rating treated as 'low credit risk'.</t>
  </si>
  <si>
    <t xml:space="preserve">PD cap</t>
  </si>
  <si>
    <t xml:space="preserve">Technical cap to keep lifetime formulas defined; Stage 3 uses PD = 100% separately.</t>
  </si>
  <si>
    <t xml:space="preserve">Days per year</t>
  </si>
  <si>
    <t xml:space="preserve">Day-count basis for remaining term.</t>
  </si>
  <si>
    <t xml:space="preserve">Macro-economic scenarios (forward-looking information)</t>
  </si>
  <si>
    <t xml:space="preserve">Scenario</t>
  </si>
  <si>
    <t xml:space="preserve">Weight</t>
  </si>
  <si>
    <t xml:space="preserve">PD multiplier</t>
  </si>
  <si>
    <t xml:space="preserve">LGD multiplier</t>
  </si>
  <si>
    <t xml:space="preserve">Note</t>
  </si>
  <si>
    <t xml:space="preserve">Base</t>
  </si>
  <si>
    <t xml:space="preserve">Illustrative - replace with output of macro-economic satellite model (GDP, oil price, CDS spreads).</t>
  </si>
  <si>
    <t xml:space="preserve">Upside</t>
  </si>
  <si>
    <t xml:space="preserve">Downside</t>
  </si>
  <si>
    <t xml:space="preserve">Total weight (must = 100%)</t>
  </si>
  <si>
    <t xml:space="preserve">Rating master scale - 12-month through-the-cycle PD</t>
  </si>
  <si>
    <t xml:space="preserve">Rating</t>
  </si>
  <si>
    <t xml:space="preserve">Notch index</t>
  </si>
  <si>
    <t xml:space="preserve">12m PD (TTC)</t>
  </si>
  <si>
    <t xml:space="preserve">Investment grade?</t>
  </si>
  <si>
    <t xml:space="preserve">Source / note</t>
  </si>
  <si>
    <t xml:space="preserve">AAA</t>
  </si>
  <si>
    <t xml:space="preserve">Illustrative long-run average; calibrate to agency default studies / internal data.</t>
  </si>
  <si>
    <t xml:space="preserve">AA+</t>
  </si>
  <si>
    <t xml:space="preserve">Illustrative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</si>
  <si>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</si>
  <si>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</si>
  <si>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</si>
  <si>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</si>
  <si>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</si>
  <si>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</si>
  <si>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</si>
  <si>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BB+</t>
  </si>
  <si>
    <t xml:space="preserve">BB</t>
  </si>
  <si>
    <t xml:space="preserve">BB-</t>
  </si>
  <si>
    <t xml:space="preserve">B+</t>
  </si>
  <si>
    <t xml:space="preserve">B</t>
  </si>
  <si>
    <t xml:space="preserve">B-</t>
  </si>
  <si>
    <t xml:space="preserve">CCC/C</t>
  </si>
  <si>
    <t xml:space="preserve">D</t>
  </si>
  <si>
    <t xml:space="preserve">Loss Given Default by sukuk structure</t>
  </si>
  <si>
    <t xml:space="preserve">Structure</t>
  </si>
  <si>
    <t xml:space="preserve">Recourse type</t>
  </si>
  <si>
    <t xml:space="preserve">Rationale</t>
  </si>
  <si>
    <t xml:space="preserve">Sovereign</t>
  </si>
  <si>
    <t xml:space="preserve">Sovereign obligor</t>
  </si>
  <si>
    <t xml:space="preserve">Sovereign / quasi-sovereign sukuk; recovery driven by restructuring outcomes. Illustrative.</t>
  </si>
  <si>
    <t xml:space="preserve">Ijara (asset-backed)</t>
  </si>
  <si>
    <t xml:space="preserve">Asset</t>
  </si>
  <si>
    <t xml:space="preserve">True sale of leased asset to SPV; holders have recourse to the asset. Illustrative.</t>
  </si>
  <si>
    <t xml:space="preserve">Ijara (asset-based)</t>
  </si>
  <si>
    <t xml:space="preserve">Obligor</t>
  </si>
  <si>
    <t xml:space="preserve">Beneficial ownership only; recourse via purchase undertaking - senior unsecured equivalent. Illustrative.</t>
  </si>
  <si>
    <t xml:space="preserve">Wakala</t>
  </si>
  <si>
    <t xml:space="preserve">Pool of assets managed by wakeel; typically asset-based with purchase undertaking. Illustrative.</t>
  </si>
  <si>
    <t xml:space="preserve">Murabaha</t>
  </si>
  <si>
    <t xml:space="preserve">Receivable / commodity murabaha; unsecured claim on obligor. Illustrative.</t>
  </si>
  <si>
    <t xml:space="preserve">Mudaraba</t>
  </si>
  <si>
    <t xml:space="preserve">Profit &amp; loss sharing</t>
  </si>
  <si>
    <t xml:space="preserve">Equity-like; capital at risk of the venture. Illustrative.</t>
  </si>
  <si>
    <t xml:space="preserve">Musharaka</t>
  </si>
  <si>
    <t xml:space="preserve">Equity-like partnership; subordinated-like recovery profile. Illustrative.</t>
  </si>
  <si>
    <t xml:space="preserve">Sukuk Portfolio - holdings &amp; staging</t>
  </si>
  <si>
    <t xml:space="preserve">Enter holdings in columns A:P (blue = input). Rows 6-13 are ILLUSTRATIVE sample holdings - overwrite or delete them. Columns Q:Z are formulas.</t>
  </si>
  <si>
    <t xml:space="preserve">Reporting date:</t>
  </si>
  <si>
    <t xml:space="preserve">Sukuk ID</t>
  </si>
  <si>
    <t xml:space="preserve">Issuer</t>
  </si>
  <si>
    <t xml:space="preserve">ISIN</t>
  </si>
  <si>
    <t xml:space="preserve">Classification (AC / FVOCI)</t>
  </si>
  <si>
    <t xml:space="preserve">Gross carrying amount</t>
  </si>
  <si>
    <t xml:space="preserve">Accrued profit</t>
  </si>
  <si>
    <t xml:space="preserve">Effective profit rate (EIR)</t>
  </si>
  <si>
    <t xml:space="preserve">Maturity date</t>
  </si>
  <si>
    <t xml:space="preserve">Rating at origination</t>
  </si>
  <si>
    <t xml:space="preserve">Current rating</t>
  </si>
  <si>
    <t xml:space="preserve">Days past due</t>
  </si>
  <si>
    <t xml:space="preserve">Watchlist (Y/N)</t>
  </si>
  <si>
    <t xml:space="preserve">Credit-impaired (Y/N)</t>
  </si>
  <si>
    <t xml:space="preserve">Stage override (1/2/3)</t>
  </si>
  <si>
    <t xml:space="preserve">LGD override</t>
  </si>
  <si>
    <t xml:space="preserve">EAD</t>
  </si>
  <si>
    <t xml:space="preserve">Remaining term (yrs)</t>
  </si>
  <si>
    <t xml:space="preserve">Orig. notch</t>
  </si>
  <si>
    <t xml:space="preserve">Current notch</t>
  </si>
  <si>
    <t xml:space="preserve">Notches downgraded</t>
  </si>
  <si>
    <t xml:space="preserve">Model stage</t>
  </si>
  <si>
    <t xml:space="preserve">Final stage</t>
  </si>
  <si>
    <t xml:space="preserve">LGD (base)</t>
  </si>
  <si>
    <t xml:space="preserve">ECL (weighted)</t>
  </si>
  <si>
    <t xml:space="preserve">SK-001</t>
  </si>
  <si>
    <t xml:space="preserve">Sample Sovereign A</t>
  </si>
  <si>
    <t xml:space="preserve">XS0000000001</t>
  </si>
  <si>
    <t xml:space="preserve">AC</t>
  </si>
  <si>
    <t xml:space="preserve">N</t>
  </si>
  <si>
    <t xml:space="preserve">SK-002</t>
  </si>
  <si>
    <t xml:space="preserve">Sample Bank B</t>
  </si>
  <si>
    <t xml:space="preserve">XS0000000002</t>
  </si>
  <si>
    <t xml:space="preserve">FVOCI</t>
  </si>
  <si>
    <t xml:space="preserve">SK-003</t>
  </si>
  <si>
    <t xml:space="preserve">Sample Real Estate C</t>
  </si>
  <si>
    <t xml:space="preserve">XS0000000003</t>
  </si>
  <si>
    <t xml:space="preserve">SK-004</t>
  </si>
  <si>
    <t xml:space="preserve">Sample Telecom D</t>
  </si>
  <si>
    <t xml:space="preserve">XS0000000004</t>
  </si>
  <si>
    <t xml:space="preserve">SK-005</t>
  </si>
  <si>
    <t xml:space="preserve">Sample Utility E</t>
  </si>
  <si>
    <t xml:space="preserve">XS0000000005</t>
  </si>
  <si>
    <t xml:space="preserve">SK-006</t>
  </si>
  <si>
    <t xml:space="preserve">Sample Developer F</t>
  </si>
  <si>
    <t xml:space="preserve">XS0000000006</t>
  </si>
  <si>
    <t xml:space="preserve">SK-007</t>
  </si>
  <si>
    <t xml:space="preserve">Sample Airline G</t>
  </si>
  <si>
    <t xml:space="preserve">XS0000000007</t>
  </si>
  <si>
    <t xml:space="preserve">SK-008</t>
  </si>
  <si>
    <t xml:space="preserve">Sample GRE H</t>
  </si>
  <si>
    <t xml:space="preserve">XS0000000008</t>
  </si>
  <si>
    <t xml:space="preserve">Total</t>
  </si>
  <si>
    <t xml:space="preserve">ECL Calculation Engine (no inputs)</t>
  </si>
  <si>
    <t xml:space="preserve">Lifetime ECL (closed form, constant hazard): EAD×LGD×[ PD/(1+r) × (1−q^n)/(1−q) + (1−PD)^n × (1−(1−PD)^f)/(1+r)^T ],  q=(1−PD)/(1+r), n=INT(T), f=T−n.  12m ECL uses horizon h=MIN(1,T). Reconciled year-by-year in Check_Schedule.</t>
  </si>
  <si>
    <t xml:space="preserve">Probability-weighted</t>
  </si>
  <si>
    <t xml:space="preserve">Term T (yrs)</t>
  </si>
  <si>
    <t xml:space="preserve">EIR</t>
  </si>
  <si>
    <t xml:space="preserve">n = full yrs</t>
  </si>
  <si>
    <t xml:space="preserve">f = part yr</t>
  </si>
  <si>
    <t xml:space="preserve">12m ECL</t>
  </si>
  <si>
    <t xml:space="preserve">Lifetime ECL</t>
  </si>
  <si>
    <t xml:space="preserve">Stage ECL</t>
  </si>
  <si>
    <t xml:space="preserve">Final ECL</t>
  </si>
  <si>
    <t xml:space="preserve">Coverage</t>
  </si>
  <si>
    <t xml:space="preserve">ECL Summary</t>
  </si>
  <si>
    <t xml:space="preserve">ECL by stage</t>
  </si>
  <si>
    <t xml:space="preserve">Segment</t>
  </si>
  <si>
    <t xml:space="preserve"># Sukuk</t>
  </si>
  <si>
    <t xml:space="preserve">ECL allowance</t>
  </si>
  <si>
    <t xml:space="preserve">Stage 1 - 12-month ECL</t>
  </si>
  <si>
    <t xml:space="preserve">Stage 2 - lifetime ECL (SICR)</t>
  </si>
  <si>
    <t xml:space="preserve">Stage 3 - credit-impaired</t>
  </si>
  <si>
    <t xml:space="preserve">ECL by sukuk structure</t>
  </si>
  <si>
    <t xml:space="preserve">ECL by accounting classification</t>
  </si>
  <si>
    <t xml:space="preserve">Allowance deducted from carrying amount</t>
  </si>
  <si>
    <t xml:space="preserve">Allowance recognised in OCI (not netted)</t>
  </si>
  <si>
    <t xml:space="preserve">Scenario sensitivity (100% weight on each scenario)</t>
  </si>
  <si>
    <t xml:space="preserve">vs weighted</t>
  </si>
  <si>
    <t xml:space="preserve">Model integrity checks</t>
  </si>
  <si>
    <t xml:space="preserve">Check</t>
  </si>
  <si>
    <t xml:space="preserve">Result</t>
  </si>
  <si>
    <t xml:space="preserve">Status</t>
  </si>
  <si>
    <t xml:space="preserve">Scenario weights sum to 100%</t>
  </si>
  <si>
    <t xml:space="preserve">Rows with unknown rating</t>
  </si>
  <si>
    <t xml:space="preserve">Rows with unknown structure</t>
  </si>
  <si>
    <t xml:space="preserve">Rows missing maturity / matured</t>
  </si>
  <si>
    <t xml:space="preserve">Stage total = portfolio EAD</t>
  </si>
  <si>
    <t xml:space="preserve">Check_Schedule reconciles</t>
  </si>
  <si>
    <t xml:space="preserve">Manual stage overrides in use</t>
  </si>
  <si>
    <t xml:space="preserve">Lifetime ECL schedule - single sukuk reconciliation</t>
  </si>
  <si>
    <t xml:space="preserve">Select Sukuk ID</t>
  </si>
  <si>
    <t xml:space="preserve">Pick any ID from Portfolio column A</t>
  </si>
  <si>
    <t xml:space="preserve">Row in portfolio</t>
  </si>
  <si>
    <t xml:space="preserve">Lifetime ECL - schedule (weighted)</t>
  </si>
  <si>
    <t xml:space="preserve">Difference</t>
  </si>
  <si>
    <t xml:space="preserve">Lifetime ECL - ECL_Calc (weighted)</t>
  </si>
  <si>
    <t xml:space="preserve">Lifetime ECL (sum)</t>
  </si>
  <si>
    <t xml:space="preserve">Year t</t>
  </si>
  <si>
    <t xml:space="preserve">Exposure fraction</t>
  </si>
  <si>
    <t xml:space="preserve">Discount factor</t>
  </si>
  <si>
    <t xml:space="preserve">Base: marginal PD</t>
  </si>
  <si>
    <t xml:space="preserve">Base: ECL</t>
  </si>
  <si>
    <t xml:space="preserve">Upside: marginal PD</t>
  </si>
  <si>
    <t xml:space="preserve">Upside: ECL</t>
  </si>
  <si>
    <t xml:space="preserve">Downside: marginal PD</t>
  </si>
  <si>
    <t xml:space="preserve">Downside: ECL</t>
  </si>
  <si>
    <t xml:space="preserve">Schedule covers up to 40 years remaining term.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</si>
</sst>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dd\-mmm\-yyyy"/>
    <numFmt numFmtId="166" formatCode="0"/>
    <numFmt numFmtId="167" formatCode="0.00%;\(0.00%\);\-"/>
    <numFmt numFmtId="168" formatCode="0.00"/>
    <numFmt numFmtId="169" formatCode="0.0%;\(0.0%\);\-"/>
    <numFmt numFmtId="170" formatCode="0.00\x"/>
    <numFmt numFmtId="171" formatCode="#,##0;\(#,##0\);\-"/>
    <numFmt numFmtId="172" formatCode="0.00;\(0.00\);\-"/>
    <numFmt numFmtId="173" formatCode="0;\(0\);\-"/>
    <numFmt numFmtId="174" formatCode="@"/>
    <numFmt numFmtId="175" formatCode="&quot;Stage &quot;0"/>
    <numFmt numFmtId="176" formatCode="0.000"/>
    <numFmt numFmtId="177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3.5" hidden="false" customHeight="true" outlineLevel="0" collapsed="false">
      <c r="B6" s="5" t="s">
        <v>3</v>
      </c>
      <c r="C6" s="6" t="s">
        <v>4</v>
      </c>
    </row>
    <row r="7" customFormat="false" ht="27.75" hidden="false" customHeight="true" outlineLevel="0" collapsed="false">
      <c r="B7" s="5" t="s">
        <v>5</v>
      </c>
      <c r="C7" s="6" t="s">
        <v>6</v>
      </c>
    </row>
    <row r="8" customFormat="false" ht="27.75" hidden="false" customHeight="true" outlineLevel="0" collapsed="false">
      <c r="B8" s="5" t="s">
        <v>7</v>
      </c>
      <c r="C8" s="6" t="s">
        <v>8</v>
      </c>
    </row>
    <row r="9" customFormat="false" ht="13.5" hidden="false" customHeight="true" outlineLevel="0" collapsed="false">
      <c r="B9" s="5" t="s">
        <v>9</v>
      </c>
      <c r="C9" s="6" t="s">
        <v>10</v>
      </c>
    </row>
    <row r="10" customFormat="false" ht="27.75" hidden="false" customHeight="true" outlineLevel="0" collapsed="false">
      <c r="B10" s="5" t="s">
        <v>11</v>
      </c>
      <c r="C10" s="6" t="s">
        <v>12</v>
      </c>
    </row>
    <row r="11" customFormat="false" ht="27.75" hidden="false" customHeight="true" outlineLevel="0" collapsed="false">
      <c r="B11" s="5" t="s">
        <v>13</v>
      </c>
      <c r="C11" s="6" t="s">
        <v>14</v>
      </c>
    </row>
    <row r="12" customFormat="false" ht="15" hidden="false" customHeight="false" outlineLevel="0" collapsed="false">
      <c r="B12" s="5"/>
    </row>
    <row r="13" customFormat="false" ht="15" hidden="false" customHeight="false" outlineLevel="0" collapsed="false">
      <c r="B13" s="3" t="s">
        <v>15</v>
      </c>
      <c r="C13" s="4"/>
    </row>
    <row r="14" customFormat="false" ht="13.5" hidden="false" customHeight="true" outlineLevel="0" collapsed="false">
      <c r="B14" s="7" t="s">
        <v>16</v>
      </c>
      <c r="C14" s="6" t="s">
        <v>17</v>
      </c>
    </row>
    <row r="15" customFormat="false" ht="13.5" hidden="false" customHeight="true" outlineLevel="0" collapsed="false">
      <c r="B15" s="8" t="s">
        <v>18</v>
      </c>
      <c r="C15" s="6" t="s">
        <v>19</v>
      </c>
    </row>
    <row r="16" customFormat="false" ht="13.5" hidden="false" customHeight="true" outlineLevel="0" collapsed="false">
      <c r="B16" s="5" t="s">
        <v>20</v>
      </c>
      <c r="C16" s="6" t="s">
        <v>21</v>
      </c>
    </row>
    <row r="17" customFormat="false" ht="13.5" hidden="false" customHeight="true" outlineLevel="0" collapsed="false">
      <c r="B17" s="9" t="s">
        <v>22</v>
      </c>
      <c r="C17" s="6" t="s">
        <v>23</v>
      </c>
    </row>
    <row r="18" customFormat="false" ht="15" hidden="false" customHeight="false" outlineLevel="0" collapsed="false">
      <c r="B18" s="5"/>
    </row>
    <row r="19" customFormat="false" ht="15" hidden="false" customHeight="false" outlineLevel="0" collapsed="false">
      <c r="B19" s="3" t="s">
        <v>24</v>
      </c>
      <c r="C19" s="4"/>
    </row>
    <row r="20" customFormat="false" ht="27.75" hidden="false" customHeight="true" outlineLevel="0" collapsed="false">
      <c r="B20" s="5" t="s">
        <v>25</v>
      </c>
      <c r="C20" s="6" t="s">
        <v>26</v>
      </c>
    </row>
    <row r="21" customFormat="false" ht="111.75" hidden="false" customHeight="true" outlineLevel="0" collapsed="false">
      <c r="B21" s="5" t="s">
        <v>27</v>
      </c>
      <c r="C21" s="6" t="s">
        <v>28</v>
      </c>
    </row>
    <row r="22" customFormat="false" ht="27.75" hidden="false" customHeight="true" outlineLevel="0" collapsed="false">
      <c r="B22" s="5" t="s">
        <v>29</v>
      </c>
      <c r="C22" s="6" t="s">
        <v>30</v>
      </c>
    </row>
    <row r="23" customFormat="false" ht="42" hidden="false" customHeight="true" outlineLevel="0" collapsed="false">
      <c r="B23" s="5" t="s">
        <v>31</v>
      </c>
      <c r="C23" s="6" t="s">
        <v>32</v>
      </c>
    </row>
    <row r="24" customFormat="false" ht="55.5" hidden="false" customHeight="true" outlineLevel="0" collapsed="false">
      <c r="B24" s="5" t="s">
        <v>33</v>
      </c>
      <c r="C24" s="6" t="s">
        <v>34</v>
      </c>
    </row>
    <row r="25" customFormat="false" ht="13.5" hidden="false" customHeight="true" outlineLevel="0" collapsed="false">
      <c r="B25" s="5" t="s">
        <v>35</v>
      </c>
      <c r="C25" s="6" t="s">
        <v>36</v>
      </c>
    </row>
    <row r="26" customFormat="false" ht="27.75" hidden="false" customHeight="true" outlineLevel="0" collapsed="false">
      <c r="B26" s="5" t="s">
        <v>37</v>
      </c>
      <c r="C26" s="6" t="s">
        <v>38</v>
      </c>
    </row>
    <row r="27" customFormat="false" ht="27.75" hidden="false" customHeight="true" outlineLevel="0" collapsed="false">
      <c r="B27" s="5" t="s">
        <v>39</v>
      </c>
      <c r="C27" s="6" t="s">
        <v>40</v>
      </c>
    </row>
    <row r="28" customFormat="false" ht="15" hidden="false" customHeight="false" outlineLevel="0" collapsed="false">
      <c r="B28" s="5"/>
    </row>
    <row r="29" customFormat="false" ht="15" hidden="false" customHeight="false" outlineLevel="0" collapsed="false">
      <c r="B29" s="3" t="s">
        <v>41</v>
      </c>
      <c r="C29" s="4"/>
    </row>
    <row r="30" customFormat="false" ht="42" hidden="false" customHeight="true" outlineLevel="0" collapsed="false">
      <c r="B30" s="5" t="s">
        <v>42</v>
      </c>
      <c r="C30" s="6" t="s">
        <v>43</v>
      </c>
    </row>
    <row r="31" customFormat="false" ht="42" hidden="false" customHeight="true" outlineLevel="0" collapsed="false">
      <c r="B31" s="5" t="s">
        <v>44</v>
      </c>
      <c r="C31" s="6" t="s">
        <v>45</v>
      </c>
    </row>
    <row r="32" customFormat="false" ht="27.75" hidden="false" customHeight="true" outlineLevel="0" collapsed="false">
      <c r="B32" s="5" t="s">
        <v>46</v>
      </c>
      <c r="C32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B1" s="1" t="s">
        <v>48</v>
      </c>
    </row>
    <row r="2" customFormat="false" ht="15" hidden="false" customHeight="false" outlineLevel="0" collapsed="false">
      <c r="B2" s="5" t="s">
        <v>49</v>
      </c>
    </row>
    <row r="3" customFormat="false" ht="15" hidden="false" customHeight="false" outlineLevel="0" collapsed="false">
      <c r="B3" s="10" t="s">
        <v>50</v>
      </c>
      <c r="C3" s="11" t="n">
        <v>46295</v>
      </c>
      <c r="F3" s="12" t="s">
        <v>51</v>
      </c>
    </row>
    <row r="4" customFormat="false" ht="15" hidden="false" customHeight="false" outlineLevel="0" collapsed="false">
      <c r="B4" s="10" t="s">
        <v>52</v>
      </c>
      <c r="C4" s="13" t="s">
        <v>53</v>
      </c>
      <c r="F4" s="12" t="s">
        <v>54</v>
      </c>
    </row>
    <row r="5" customFormat="false" ht="23.85" hidden="false" customHeight="false" outlineLevel="0" collapsed="false">
      <c r="B5" s="10" t="s">
        <v>55</v>
      </c>
      <c r="C5" s="14" t="n">
        <v>3</v>
      </c>
      <c r="F5" s="12" t="s">
        <v>56</v>
      </c>
    </row>
    <row r="6" customFormat="false" ht="15" hidden="false" customHeight="false" outlineLevel="0" collapsed="false">
      <c r="B6" s="10" t="s">
        <v>57</v>
      </c>
      <c r="C6" s="14" t="n">
        <v>30</v>
      </c>
      <c r="F6" s="12" t="s">
        <v>58</v>
      </c>
    </row>
    <row r="7" customFormat="false" ht="15" hidden="false" customHeight="false" outlineLevel="0" collapsed="false">
      <c r="B7" s="10" t="s">
        <v>59</v>
      </c>
      <c r="C7" s="14" t="n">
        <v>90</v>
      </c>
      <c r="F7" s="12" t="s">
        <v>60</v>
      </c>
    </row>
    <row r="8" customFormat="false" ht="23.85" hidden="false" customHeight="false" outlineLevel="0" collapsed="false">
      <c r="B8" s="10" t="s">
        <v>61</v>
      </c>
      <c r="C8" s="13" t="s">
        <v>62</v>
      </c>
      <c r="F8" s="12" t="s">
        <v>63</v>
      </c>
    </row>
    <row r="9" customFormat="false" ht="15" hidden="false" customHeight="false" outlineLevel="0" collapsed="false">
      <c r="B9" s="10" t="s">
        <v>64</v>
      </c>
      <c r="C9" s="13" t="s">
        <v>65</v>
      </c>
      <c r="F9" s="12" t="s">
        <v>66</v>
      </c>
    </row>
    <row r="10" customFormat="false" ht="23.85" hidden="false" customHeight="false" outlineLevel="0" collapsed="false">
      <c r="B10" s="10" t="s">
        <v>67</v>
      </c>
      <c r="C10" s="15" t="n">
        <v>0.9999</v>
      </c>
      <c r="F10" s="12" t="s">
        <v>68</v>
      </c>
    </row>
    <row r="11" customFormat="false" ht="15" hidden="false" customHeight="false" outlineLevel="0" collapsed="false">
      <c r="B11" s="10" t="s">
        <v>69</v>
      </c>
      <c r="C11" s="16" t="n">
        <v>365.25</v>
      </c>
      <c r="F11" s="12" t="s">
        <v>70</v>
      </c>
    </row>
    <row r="13" customFormat="false" ht="15" hidden="false" customHeight="false" outlineLevel="0" collapsed="false">
      <c r="B13" s="5" t="s">
        <v>71</v>
      </c>
    </row>
    <row r="14" customFormat="false" ht="15" hidden="false" customHeight="false" outlineLevel="0" collapsed="false">
      <c r="B14" s="17" t="s">
        <v>72</v>
      </c>
      <c r="C14" s="17" t="s">
        <v>73</v>
      </c>
      <c r="D14" s="17" t="s">
        <v>74</v>
      </c>
      <c r="E14" s="17" t="s">
        <v>75</v>
      </c>
      <c r="F14" s="17" t="s">
        <v>76</v>
      </c>
    </row>
    <row r="15" customFormat="false" ht="23.85" hidden="false" customHeight="false" outlineLevel="0" collapsed="false">
      <c r="B15" s="18" t="s">
        <v>77</v>
      </c>
      <c r="C15" s="19" t="n">
        <v>0.5</v>
      </c>
      <c r="D15" s="20" t="n">
        <v>1</v>
      </c>
      <c r="E15" s="20" t="n">
        <v>1</v>
      </c>
      <c r="F15" s="12" t="s">
        <v>78</v>
      </c>
    </row>
    <row r="16" customFormat="false" ht="23.85" hidden="false" customHeight="false" outlineLevel="0" collapsed="false">
      <c r="B16" s="18" t="s">
        <v>79</v>
      </c>
      <c r="C16" s="19" t="n">
        <v>0.2</v>
      </c>
      <c r="D16" s="20" t="n">
        <v>0.8</v>
      </c>
      <c r="E16" s="20" t="n">
        <v>0.95</v>
      </c>
      <c r="F16" s="12" t="s">
        <v>78</v>
      </c>
    </row>
    <row r="17" customFormat="false" ht="23.85" hidden="false" customHeight="false" outlineLevel="0" collapsed="false">
      <c r="B17" s="18" t="s">
        <v>80</v>
      </c>
      <c r="C17" s="19" t="n">
        <v>0.3</v>
      </c>
      <c r="D17" s="20" t="n">
        <v>1.6</v>
      </c>
      <c r="E17" s="20" t="n">
        <v>1.15</v>
      </c>
      <c r="F17" s="12" t="s">
        <v>78</v>
      </c>
    </row>
    <row r="18" customFormat="false" ht="15" hidden="false" customHeight="false" outlineLevel="0" collapsed="false">
      <c r="B18" s="21" t="s">
        <v>81</v>
      </c>
      <c r="C18" s="22" t="n">
        <f aca="false">SUM(C15:C17)</f>
        <v>1</v>
      </c>
      <c r="D18" s="21" t="str">
        <f aca="false">IF(ROUND(C18,6)=1,"OK","ERROR")</f>
        <v>OK</v>
      </c>
    </row>
    <row r="21" customFormat="false" ht="15" hidden="false" customHeight="false" outlineLevel="0" collapsed="false">
      <c r="B21" s="5" t="s">
        <v>82</v>
      </c>
    </row>
    <row r="22" customFormat="false" ht="23.85" hidden="false" customHeight="false" outlineLevel="0" collapsed="false">
      <c r="B22" s="17" t="s">
        <v>83</v>
      </c>
      <c r="C22" s="17" t="s">
        <v>84</v>
      </c>
      <c r="D22" s="17" t="s">
        <v>85</v>
      </c>
      <c r="E22" s="17" t="s">
        <v>86</v>
      </c>
      <c r="F22" s="17" t="s">
        <v>87</v>
      </c>
    </row>
    <row r="23" customFormat="false" ht="23.85" hidden="false" customHeight="false" outlineLevel="0" collapsed="false">
      <c r="B23" s="18" t="s">
        <v>88</v>
      </c>
      <c r="C23" s="10" t="n">
        <f aca="false">ROW()-22</f>
        <v>1</v>
      </c>
      <c r="D23" s="15" t="n">
        <v>0.0001</v>
      </c>
      <c r="E23" s="10" t="str">
        <f aca="false">IF(C23&lt;=MATCH($C$9,$B$23:$B$40,0),"Yes","No")</f>
        <v>Yes</v>
      </c>
      <c r="F23" s="12" t="s">
        <v>89</v>
      </c>
    </row>
    <row r="24" customFormat="false" ht="15" hidden="false" customHeight="false" outlineLevel="0" collapsed="false">
      <c r="B24" s="18" t="s">
        <v>90</v>
      </c>
      <c r="C24" s="10" t="n">
        <f aca="false">ROW()-22</f>
        <v>2</v>
      </c>
      <c r="D24" s="15" t="n">
        <v>0.0002</v>
      </c>
      <c r="E24" s="10" t="str">
        <f aca="false">IF(C24&lt;=MATCH($C$9,$B$23:$B$40,0),"Yes","No")</f>
        <v>Yes</v>
      </c>
      <c r="F24" s="12" t="s">
        <v>91</v>
      </c>
    </row>
    <row r="25" customFormat="false" ht="15" hidden="false" customHeight="false" outlineLevel="0" collapsed="false">
      <c r="B25" s="18" t="s">
        <v>92</v>
      </c>
      <c r="C25" s="10" t="n">
        <f aca="false">ROW()-22</f>
        <v>3</v>
      </c>
      <c r="D25" s="15" t="n">
        <v>0.0002</v>
      </c>
      <c r="E25" s="10" t="str">
        <f aca="false">IF(C25&lt;=MATCH($C$9,$B$23:$B$40,0),"Yes","No")</f>
        <v>Yes</v>
      </c>
      <c r="F25" s="12" t="s">
        <v>91</v>
      </c>
    </row>
    <row r="26" customFormat="false" ht="15" hidden="false" customHeight="false" outlineLevel="0" collapsed="false">
      <c r="B26" s="18" t="s">
        <v>93</v>
      </c>
      <c r="C26" s="10" t="n">
        <f aca="false">ROW()-22</f>
        <v>4</v>
      </c>
      <c r="D26" s="15" t="n">
        <v>0.0003</v>
      </c>
      <c r="E26" s="10" t="str">
        <f aca="false">IF(C26&lt;=MATCH($C$9,$B$23:$B$40,0),"Yes","No")</f>
        <v>Yes</v>
      </c>
      <c r="F26" s="12" t="s">
        <v>91</v>
      </c>
    </row>
    <row r="27" customFormat="false" ht="15" hidden="false" customHeight="false" outlineLevel="0" collapsed="false">
      <c r="B27" s="18" t="s">
        <v>94</v>
      </c>
      <c r="C27" s="10" t="n">
        <f aca="false">ROW()-22</f>
        <v>5</v>
      </c>
      <c r="D27" s="15" t="n">
        <v>0.0004</v>
      </c>
      <c r="E27" s="10" t="str">
        <f aca="false">IF(C27&lt;=MATCH($C$9,$B$23:$B$40,0),"Yes","No")</f>
        <v>Yes</v>
      </c>
      <c r="F27" s="12" t="s">
        <v>91</v>
      </c>
    </row>
    <row r="28" customFormat="false" ht="15" hidden="false" customHeight="false" outlineLevel="0" collapsed="false">
      <c r="B28" s="18" t="s">
        <v>95</v>
      </c>
      <c r="C28" s="10" t="n">
        <f aca="false">ROW()-22</f>
        <v>6</v>
      </c>
      <c r="D28" s="15" t="n">
        <v>0.0005</v>
      </c>
      <c r="E28" s="10" t="str">
        <f aca="false">IF(C28&lt;=MATCH($C$9,$B$23:$B$40,0),"Yes","No")</f>
        <v>Yes</v>
      </c>
      <c r="F28" s="12" t="s">
        <v>91</v>
      </c>
    </row>
    <row r="29" customFormat="false" ht="15" hidden="false" customHeight="false" outlineLevel="0" collapsed="false">
      <c r="B29" s="18" t="s">
        <v>96</v>
      </c>
      <c r="C29" s="10" t="n">
        <f aca="false">ROW()-22</f>
        <v>7</v>
      </c>
      <c r="D29" s="15" t="n">
        <v>0.0007</v>
      </c>
      <c r="E29" s="10" t="str">
        <f aca="false">IF(C29&lt;=MATCH($C$9,$B$23:$B$40,0),"Yes","No")</f>
        <v>Yes</v>
      </c>
      <c r="F29" s="12" t="s">
        <v>91</v>
      </c>
    </row>
    <row r="30" customFormat="false" ht="15" hidden="false" customHeight="false" outlineLevel="0" collapsed="false">
      <c r="B30" s="18" t="s">
        <v>97</v>
      </c>
      <c r="C30" s="10" t="n">
        <f aca="false">ROW()-22</f>
        <v>8</v>
      </c>
      <c r="D30" s="15" t="n">
        <v>0.001</v>
      </c>
      <c r="E30" s="10" t="str">
        <f aca="false">IF(C30&lt;=MATCH($C$9,$B$23:$B$40,0),"Yes","No")</f>
        <v>Yes</v>
      </c>
      <c r="F30" s="12" t="s">
        <v>91</v>
      </c>
    </row>
    <row r="31" customFormat="false" ht="15" hidden="false" customHeight="false" outlineLevel="0" collapsed="false">
      <c r="B31" s="18" t="s">
        <v>98</v>
      </c>
      <c r="C31" s="10" t="n">
        <f aca="false">ROW()-22</f>
        <v>9</v>
      </c>
      <c r="D31" s="15" t="n">
        <v>0.0015</v>
      </c>
      <c r="E31" s="10" t="str">
        <f aca="false">IF(C31&lt;=MATCH($C$9,$B$23:$B$40,0),"Yes","No")</f>
        <v>Yes</v>
      </c>
      <c r="F31" s="12" t="s">
        <v>91</v>
      </c>
    </row>
    <row r="32" customFormat="false" ht="15" hidden="false" customHeight="false" outlineLevel="0" collapsed="false">
      <c r="B32" s="18" t="s">
        <v>65</v>
      </c>
      <c r="C32" s="10" t="n">
        <f aca="false">ROW()-22</f>
        <v>10</v>
      </c>
      <c r="D32" s="15" t="n">
        <v>0.0025</v>
      </c>
      <c r="E32" s="10" t="str">
        <f aca="false">IF(C32&lt;=MATCH($C$9,$B$23:$B$40,0),"Yes","No")</f>
        <v>Yes</v>
      </c>
      <c r="F32" s="12" t="s">
        <v>91</v>
      </c>
    </row>
    <row r="33" customFormat="false" ht="15" hidden="false" customHeight="false" outlineLevel="0" collapsed="false">
      <c r="B33" s="18" t="s">
        <v>99</v>
      </c>
      <c r="C33" s="10" t="n">
        <f aca="false">ROW()-22</f>
        <v>11</v>
      </c>
      <c r="D33" s="15" t="n">
        <v>0.0035</v>
      </c>
      <c r="E33" s="10" t="str">
        <f aca="false">IF(C33&lt;=MATCH($C$9,$B$23:$B$40,0),"Yes","No")</f>
        <v>No</v>
      </c>
      <c r="F33" s="12" t="s">
        <v>91</v>
      </c>
    </row>
    <row r="34" customFormat="false" ht="15" hidden="false" customHeight="false" outlineLevel="0" collapsed="false">
      <c r="B34" s="18" t="s">
        <v>100</v>
      </c>
      <c r="C34" s="10" t="n">
        <f aca="false">ROW()-22</f>
        <v>12</v>
      </c>
      <c r="D34" s="15" t="n">
        <v>0.0055</v>
      </c>
      <c r="E34" s="10" t="str">
        <f aca="false">IF(C34&lt;=MATCH($C$9,$B$23:$B$40,0),"Yes","No")</f>
        <v>No</v>
      </c>
      <c r="F34" s="12" t="s">
        <v>91</v>
      </c>
    </row>
    <row r="35" customFormat="false" ht="15" hidden="false" customHeight="false" outlineLevel="0" collapsed="false">
      <c r="B35" s="18" t="s">
        <v>101</v>
      </c>
      <c r="C35" s="10" t="n">
        <f aca="false">ROW()-22</f>
        <v>13</v>
      </c>
      <c r="D35" s="15" t="n">
        <v>0.009</v>
      </c>
      <c r="E35" s="10" t="str">
        <f aca="false">IF(C35&lt;=MATCH($C$9,$B$23:$B$40,0),"Yes","No")</f>
        <v>No</v>
      </c>
      <c r="F35" s="12" t="s">
        <v>91</v>
      </c>
    </row>
    <row r="36" customFormat="false" ht="15" hidden="false" customHeight="false" outlineLevel="0" collapsed="false">
      <c r="B36" s="18" t="s">
        <v>102</v>
      </c>
      <c r="C36" s="10" t="n">
        <f aca="false">ROW()-22</f>
        <v>14</v>
      </c>
      <c r="D36" s="15" t="n">
        <v>0.015</v>
      </c>
      <c r="E36" s="10" t="str">
        <f aca="false">IF(C36&lt;=MATCH($C$9,$B$23:$B$40,0),"Yes","No")</f>
        <v>No</v>
      </c>
      <c r="F36" s="12" t="s">
        <v>91</v>
      </c>
    </row>
    <row r="37" customFormat="false" ht="15" hidden="false" customHeight="false" outlineLevel="0" collapsed="false">
      <c r="B37" s="18" t="s">
        <v>103</v>
      </c>
      <c r="C37" s="10" t="n">
        <f aca="false">ROW()-22</f>
        <v>15</v>
      </c>
      <c r="D37" s="15" t="n">
        <v>0.025</v>
      </c>
      <c r="E37" s="10" t="str">
        <f aca="false">IF(C37&lt;=MATCH($C$9,$B$23:$B$40,0),"Yes","No")</f>
        <v>No</v>
      </c>
      <c r="F37" s="12" t="s">
        <v>91</v>
      </c>
    </row>
    <row r="38" customFormat="false" ht="15" hidden="false" customHeight="false" outlineLevel="0" collapsed="false">
      <c r="B38" s="18" t="s">
        <v>104</v>
      </c>
      <c r="C38" s="10" t="n">
        <f aca="false">ROW()-22</f>
        <v>16</v>
      </c>
      <c r="D38" s="15" t="n">
        <v>0.05</v>
      </c>
      <c r="E38" s="10" t="str">
        <f aca="false">IF(C38&lt;=MATCH($C$9,$B$23:$B$40,0),"Yes","No")</f>
        <v>No</v>
      </c>
      <c r="F38" s="12" t="s">
        <v>91</v>
      </c>
    </row>
    <row r="39" customFormat="false" ht="15" hidden="false" customHeight="false" outlineLevel="0" collapsed="false">
      <c r="B39" s="18" t="s">
        <v>105</v>
      </c>
      <c r="C39" s="10" t="n">
        <f aca="false">ROW()-22</f>
        <v>17</v>
      </c>
      <c r="D39" s="15" t="n">
        <v>0.25</v>
      </c>
      <c r="E39" s="10" t="str">
        <f aca="false">IF(C39&lt;=MATCH($C$9,$B$23:$B$40,0),"Yes","No")</f>
        <v>No</v>
      </c>
      <c r="F39" s="12" t="s">
        <v>91</v>
      </c>
    </row>
    <row r="40" customFormat="false" ht="15" hidden="false" customHeight="false" outlineLevel="0" collapsed="false">
      <c r="B40" s="18" t="s">
        <v>106</v>
      </c>
      <c r="C40" s="10" t="n">
        <f aca="false">ROW()-22</f>
        <v>18</v>
      </c>
      <c r="D40" s="15" t="n">
        <v>1</v>
      </c>
      <c r="E40" s="10" t="str">
        <f aca="false">IF(C40&lt;=MATCH($C$9,$B$23:$B$40,0),"Yes","No")</f>
        <v>No</v>
      </c>
      <c r="F40" s="12" t="s">
        <v>91</v>
      </c>
    </row>
    <row r="43" customFormat="false" ht="15" hidden="false" customHeight="false" outlineLevel="0" collapsed="false">
      <c r="B43" s="5" t="s">
        <v>107</v>
      </c>
    </row>
    <row r="44" customFormat="false" ht="15" hidden="false" customHeight="false" outlineLevel="0" collapsed="false">
      <c r="B44" s="17" t="s">
        <v>108</v>
      </c>
      <c r="C44" s="17" t="s">
        <v>33</v>
      </c>
      <c r="D44" s="17" t="s">
        <v>109</v>
      </c>
      <c r="E44" s="17"/>
      <c r="F44" s="17" t="s">
        <v>110</v>
      </c>
    </row>
    <row r="45" customFormat="false" ht="23.85" hidden="false" customHeight="false" outlineLevel="0" collapsed="false">
      <c r="B45" s="18" t="s">
        <v>111</v>
      </c>
      <c r="C45" s="19" t="n">
        <v>0.4</v>
      </c>
      <c r="D45" s="18" t="s">
        <v>112</v>
      </c>
      <c r="F45" s="12" t="s">
        <v>113</v>
      </c>
    </row>
    <row r="46" customFormat="false" ht="23.85" hidden="false" customHeight="false" outlineLevel="0" collapsed="false">
      <c r="B46" s="18" t="s">
        <v>114</v>
      </c>
      <c r="C46" s="19" t="n">
        <v>0.35</v>
      </c>
      <c r="D46" s="18" t="s">
        <v>115</v>
      </c>
      <c r="F46" s="12" t="s">
        <v>116</v>
      </c>
    </row>
    <row r="47" customFormat="false" ht="23.85" hidden="false" customHeight="false" outlineLevel="0" collapsed="false">
      <c r="B47" s="18" t="s">
        <v>117</v>
      </c>
      <c r="C47" s="19" t="n">
        <v>0.45</v>
      </c>
      <c r="D47" s="18" t="s">
        <v>118</v>
      </c>
      <c r="F47" s="12" t="s">
        <v>119</v>
      </c>
    </row>
    <row r="48" customFormat="false" ht="23.85" hidden="false" customHeight="false" outlineLevel="0" collapsed="false">
      <c r="B48" s="18" t="s">
        <v>120</v>
      </c>
      <c r="C48" s="19" t="n">
        <v>0.45</v>
      </c>
      <c r="D48" s="18" t="s">
        <v>118</v>
      </c>
      <c r="F48" s="12" t="s">
        <v>121</v>
      </c>
    </row>
    <row r="49" customFormat="false" ht="23.85" hidden="false" customHeight="false" outlineLevel="0" collapsed="false">
      <c r="B49" s="18" t="s">
        <v>122</v>
      </c>
      <c r="C49" s="19" t="n">
        <v>0.45</v>
      </c>
      <c r="D49" s="18" t="s">
        <v>118</v>
      </c>
      <c r="F49" s="12" t="s">
        <v>123</v>
      </c>
    </row>
    <row r="50" customFormat="false" ht="15" hidden="false" customHeight="false" outlineLevel="0" collapsed="false">
      <c r="B50" s="18" t="s">
        <v>124</v>
      </c>
      <c r="C50" s="19" t="n">
        <v>0.6</v>
      </c>
      <c r="D50" s="18" t="s">
        <v>125</v>
      </c>
      <c r="F50" s="12" t="s">
        <v>126</v>
      </c>
    </row>
    <row r="51" customFormat="false" ht="15" hidden="false" customHeight="false" outlineLevel="0" collapsed="false">
      <c r="B51" s="18" t="s">
        <v>127</v>
      </c>
      <c r="C51" s="19" t="n">
        <v>0.6</v>
      </c>
      <c r="D51" s="18" t="s">
        <v>125</v>
      </c>
      <c r="F51" s="12" t="s">
        <v>128</v>
      </c>
    </row>
  </sheetData>
  <dataValidations count="2">
    <dataValidation allowBlank="true" error="Pick a value from the list" errorStyle="stop" operator="between" showDropDown="false" showErrorMessage="true" showInputMessage="false" sqref="C8" type="list">
      <formula1>"Y,N"</formula1>
      <formula2>0</formula2>
    </dataValidation>
    <dataValidation allowBlank="true" error="Pick a value from the list" errorStyle="stop" operator="between" showDropDown="false" showErrorMessage="true" showInputMessage="false" sqref="C9" type="list">
      <formula1>$B$23:$B$40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20" min="19" style="0" width="8"/>
    <col collapsed="false" customWidth="true" hidden="false" outlineLevel="0" max="21" min="21" style="0" width="10"/>
    <col collapsed="false" customWidth="true" hidden="false" outlineLevel="0" max="23" min="22" style="0" width="8"/>
    <col collapsed="false" customWidth="true" hidden="false" outlineLevel="0" max="24" min="24" style="0" width="10"/>
    <col collapsed="false" customWidth="true" hidden="false" outlineLevel="0" max="25" min="25" style="0" width="9"/>
    <col collapsed="false" customWidth="true" hidden="false" outlineLevel="0" max="26" min="26" style="0" width="13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3" customFormat="false" ht="15" hidden="false" customHeight="false" outlineLevel="0" collapsed="false">
      <c r="A3" s="5" t="s">
        <v>131</v>
      </c>
      <c r="C3" s="23" t="n">
        <f aca="false">Assumptions!C3</f>
        <v>46295</v>
      </c>
    </row>
    <row r="5" customFormat="false" ht="42" hidden="false" customHeight="true" outlineLevel="0" collapsed="false">
      <c r="A5" s="17" t="s">
        <v>132</v>
      </c>
      <c r="B5" s="17" t="s">
        <v>133</v>
      </c>
      <c r="C5" s="17" t="s">
        <v>134</v>
      </c>
      <c r="D5" s="17" t="s">
        <v>108</v>
      </c>
      <c r="E5" s="17" t="s">
        <v>135</v>
      </c>
      <c r="F5" s="17" t="s">
        <v>136</v>
      </c>
      <c r="G5" s="17" t="s">
        <v>137</v>
      </c>
      <c r="H5" s="17" t="s">
        <v>138</v>
      </c>
      <c r="I5" s="17" t="s">
        <v>139</v>
      </c>
      <c r="J5" s="17" t="s">
        <v>140</v>
      </c>
      <c r="K5" s="17" t="s">
        <v>141</v>
      </c>
      <c r="L5" s="17" t="s">
        <v>142</v>
      </c>
      <c r="M5" s="17" t="s">
        <v>143</v>
      </c>
      <c r="N5" s="17" t="s">
        <v>144</v>
      </c>
      <c r="O5" s="17" t="s">
        <v>145</v>
      </c>
      <c r="P5" s="17" t="s">
        <v>146</v>
      </c>
      <c r="Q5" s="17" t="s">
        <v>147</v>
      </c>
      <c r="R5" s="17" t="s">
        <v>148</v>
      </c>
      <c r="S5" s="17" t="s">
        <v>149</v>
      </c>
      <c r="T5" s="17" t="s">
        <v>150</v>
      </c>
      <c r="U5" s="17" t="s">
        <v>151</v>
      </c>
      <c r="V5" s="17" t="s">
        <v>152</v>
      </c>
      <c r="W5" s="17" t="s">
        <v>153</v>
      </c>
      <c r="X5" s="17" t="s">
        <v>85</v>
      </c>
      <c r="Y5" s="17" t="s">
        <v>154</v>
      </c>
      <c r="Z5" s="17" t="s">
        <v>155</v>
      </c>
    </row>
    <row r="6" customFormat="false" ht="15" hidden="false" customHeight="false" outlineLevel="0" collapsed="false">
      <c r="A6" s="24" t="s">
        <v>156</v>
      </c>
      <c r="B6" s="24" t="s">
        <v>157</v>
      </c>
      <c r="C6" s="24" t="s">
        <v>158</v>
      </c>
      <c r="D6" s="24" t="s">
        <v>111</v>
      </c>
      <c r="E6" s="24" t="s">
        <v>159</v>
      </c>
      <c r="F6" s="25" t="n">
        <v>10000000</v>
      </c>
      <c r="G6" s="25" t="n">
        <v>125000</v>
      </c>
      <c r="H6" s="26" t="n">
        <v>0.0475</v>
      </c>
      <c r="I6" s="27" t="n">
        <v>48014</v>
      </c>
      <c r="J6" s="24" t="s">
        <v>94</v>
      </c>
      <c r="K6" s="24" t="s">
        <v>94</v>
      </c>
      <c r="L6" s="28" t="n">
        <v>0</v>
      </c>
      <c r="M6" s="24" t="s">
        <v>160</v>
      </c>
      <c r="N6" s="24" t="s">
        <v>160</v>
      </c>
      <c r="O6" s="28"/>
      <c r="P6" s="29"/>
      <c r="Q6" s="30" t="n">
        <f aca="false">IF($A6="","",F6+G6)</f>
        <v>10125000</v>
      </c>
      <c r="R6" s="31" t="n">
        <f aca="false">IF($A6="","",MAX(0,(I6-Assumptions!$C$3)/Assumptions!$C$11))</f>
        <v>4.70636550308008</v>
      </c>
      <c r="S6" s="32" t="n">
        <f aca="false">IF($A6="","",MATCH(J6,Assumptions!$B$23:$B$40,0))</f>
        <v>5</v>
      </c>
      <c r="T6" s="32" t="n">
        <f aca="false">IF($A6="","",MATCH(K6,Assumptions!$B$23:$B$40,0))</f>
        <v>5</v>
      </c>
      <c r="U6" s="33" t="n">
        <f aca="false">IF($A6="","",T6-S6)</f>
        <v>0</v>
      </c>
      <c r="V6" s="32" t="n">
        <f aca="false">IF($A6="","",IF(OR(L6&gt;Assumptions!$C$7,K6="D",N6="Y"),3,IF(OR(L6&gt;Assumptions!$C$6,M6="Y",AND(U6&gt;=Assumptions!$C$5,NOT(AND(Assumptions!$C$8="Y",T6&lt;=MATCH(Assumptions!$C$9,Assumptions!$B$23:$B$40,0))))),2,1)))</f>
        <v>1</v>
      </c>
      <c r="W6" s="32" t="n">
        <f aca="false">IF($A6="","",IF(O6="",V6,O6))</f>
        <v>1</v>
      </c>
      <c r="X6" s="34" t="n">
        <f aca="false">IF($A6="","",INDEX(Assumptions!$D$23:$D$40,T6))</f>
        <v>0.0004</v>
      </c>
      <c r="Y6" s="35" t="n">
        <f aca="false">IF($A6="","",IF(P6="",INDEX(Assumptions!$C$45:$C$51,MATCH(D6,Assumptions!$B$45:$B$51,0)),P6))</f>
        <v>0.4</v>
      </c>
      <c r="Z6" s="36" t="n">
        <f aca="false">IF($A6="","",ECL_Calc!AA6)</f>
        <v>1862.0334128877</v>
      </c>
    </row>
    <row r="7" customFormat="false" ht="15" hidden="false" customHeight="false" outlineLevel="0" collapsed="false">
      <c r="A7" s="24" t="s">
        <v>161</v>
      </c>
      <c r="B7" s="24" t="s">
        <v>162</v>
      </c>
      <c r="C7" s="24" t="s">
        <v>163</v>
      </c>
      <c r="D7" s="24" t="s">
        <v>120</v>
      </c>
      <c r="E7" s="24" t="s">
        <v>164</v>
      </c>
      <c r="F7" s="25" t="n">
        <v>5000000</v>
      </c>
      <c r="G7" s="25" t="n">
        <v>42000</v>
      </c>
      <c r="H7" s="26" t="n">
        <v>0.052</v>
      </c>
      <c r="I7" s="27" t="n">
        <v>47178</v>
      </c>
      <c r="J7" s="24" t="s">
        <v>96</v>
      </c>
      <c r="K7" s="24" t="s">
        <v>98</v>
      </c>
      <c r="L7" s="28" t="n">
        <v>0</v>
      </c>
      <c r="M7" s="24" t="s">
        <v>160</v>
      </c>
      <c r="N7" s="24" t="s">
        <v>160</v>
      </c>
      <c r="O7" s="28"/>
      <c r="P7" s="29"/>
      <c r="Q7" s="30" t="n">
        <f aca="false">IF($A7="","",F7+G7)</f>
        <v>5042000</v>
      </c>
      <c r="R7" s="31" t="n">
        <f aca="false">IF($A7="","",MAX(0,(I7-Assumptions!$C$3)/Assumptions!$C$11))</f>
        <v>2.41752224503765</v>
      </c>
      <c r="S7" s="32" t="n">
        <f aca="false">IF($A7="","",MATCH(J7,Assumptions!$B$23:$B$40,0))</f>
        <v>7</v>
      </c>
      <c r="T7" s="32" t="n">
        <f aca="false">IF($A7="","",MATCH(K7,Assumptions!$B$23:$B$40,0))</f>
        <v>9</v>
      </c>
      <c r="U7" s="33" t="n">
        <f aca="false">IF($A7="","",T7-S7)</f>
        <v>2</v>
      </c>
      <c r="V7" s="32" t="n">
        <f aca="false">IF($A7="","",IF(OR(L7&gt;Assumptions!$C$7,K7="D",N7="Y"),3,IF(OR(L7&gt;Assumptions!$C$6,M7="Y",AND(U7&gt;=Assumptions!$C$5,NOT(AND(Assumptions!$C$8="Y",T7&lt;=MATCH(Assumptions!$C$9,Assumptions!$B$23:$B$40,0))))),2,1)))</f>
        <v>1</v>
      </c>
      <c r="W7" s="32" t="n">
        <f aca="false">IF($A7="","",IF(O7="",V7,O7))</f>
        <v>1</v>
      </c>
      <c r="X7" s="34" t="n">
        <f aca="false">IF($A7="","",INDEX(Assumptions!$D$23:$D$40,T7))</f>
        <v>0.0015</v>
      </c>
      <c r="Y7" s="35" t="n">
        <f aca="false">IF($A7="","",IF(P7="",INDEX(Assumptions!$C$45:$C$51,MATCH(D7,Assumptions!$B$45:$B$51,0)),P7))</f>
        <v>0.45</v>
      </c>
      <c r="Z7" s="36" t="n">
        <f aca="false">IF($A7="","",ECL_Calc!AA7)</f>
        <v>3895.08878326986</v>
      </c>
    </row>
    <row r="8" customFormat="false" ht="15" hidden="false" customHeight="false" outlineLevel="0" collapsed="false">
      <c r="A8" s="24" t="s">
        <v>165</v>
      </c>
      <c r="B8" s="24" t="s">
        <v>166</v>
      </c>
      <c r="C8" s="24" t="s">
        <v>167</v>
      </c>
      <c r="D8" s="24" t="s">
        <v>114</v>
      </c>
      <c r="E8" s="24" t="s">
        <v>159</v>
      </c>
      <c r="F8" s="25" t="n">
        <v>7500000</v>
      </c>
      <c r="G8" s="25" t="n">
        <v>90000</v>
      </c>
      <c r="H8" s="26" t="n">
        <v>0.061</v>
      </c>
      <c r="I8" s="27" t="n">
        <v>47807</v>
      </c>
      <c r="J8" s="24" t="s">
        <v>98</v>
      </c>
      <c r="K8" s="24" t="s">
        <v>100</v>
      </c>
      <c r="L8" s="28" t="n">
        <v>0</v>
      </c>
      <c r="M8" s="24" t="s">
        <v>160</v>
      </c>
      <c r="N8" s="24" t="s">
        <v>160</v>
      </c>
      <c r="O8" s="28"/>
      <c r="P8" s="29"/>
      <c r="Q8" s="30" t="n">
        <f aca="false">IF($A8="","",F8+G8)</f>
        <v>7590000</v>
      </c>
      <c r="R8" s="31" t="n">
        <f aca="false">IF($A8="","",MAX(0,(I8-Assumptions!$C$3)/Assumptions!$C$11))</f>
        <v>4.13963039014374</v>
      </c>
      <c r="S8" s="32" t="n">
        <f aca="false">IF($A8="","",MATCH(J8,Assumptions!$B$23:$B$40,0))</f>
        <v>9</v>
      </c>
      <c r="T8" s="32" t="n">
        <f aca="false">IF($A8="","",MATCH(K8,Assumptions!$B$23:$B$40,0))</f>
        <v>12</v>
      </c>
      <c r="U8" s="33" t="n">
        <f aca="false">IF($A8="","",T8-S8)</f>
        <v>3</v>
      </c>
      <c r="V8" s="32" t="n">
        <f aca="false">IF($A8="","",IF(OR(L8&gt;Assumptions!$C$7,K8="D",N8="Y"),3,IF(OR(L8&gt;Assumptions!$C$6,M8="Y",AND(U8&gt;=Assumptions!$C$5,NOT(AND(Assumptions!$C$8="Y",T8&lt;=MATCH(Assumptions!$C$9,Assumptions!$B$23:$B$40,0))))),2,1)))</f>
        <v>2</v>
      </c>
      <c r="W8" s="32" t="n">
        <f aca="false">IF($A8="","",IF(O8="",V8,O8))</f>
        <v>2</v>
      </c>
      <c r="X8" s="34" t="n">
        <f aca="false">IF($A8="","",INDEX(Assumptions!$D$23:$D$40,T8))</f>
        <v>0.0055</v>
      </c>
      <c r="Y8" s="35" t="n">
        <f aca="false">IF($A8="","",IF(P8="",INDEX(Assumptions!$C$45:$C$51,MATCH(D8,Assumptions!$B$45:$B$51,0)),P8))</f>
        <v>0.35</v>
      </c>
      <c r="Z8" s="36" t="n">
        <f aca="false">IF($A8="","",ECL_Calc!AA8)</f>
        <v>62098.7996834421</v>
      </c>
    </row>
    <row r="9" customFormat="false" ht="15" hidden="false" customHeight="false" outlineLevel="0" collapsed="false">
      <c r="A9" s="24" t="s">
        <v>168</v>
      </c>
      <c r="B9" s="24" t="s">
        <v>169</v>
      </c>
      <c r="C9" s="24" t="s">
        <v>170</v>
      </c>
      <c r="D9" s="24" t="s">
        <v>122</v>
      </c>
      <c r="E9" s="24" t="s">
        <v>159</v>
      </c>
      <c r="F9" s="25" t="n">
        <v>3000000</v>
      </c>
      <c r="G9" s="25" t="n">
        <v>15500</v>
      </c>
      <c r="H9" s="26" t="n">
        <v>0.056</v>
      </c>
      <c r="I9" s="27" t="n">
        <v>46507</v>
      </c>
      <c r="J9" s="24" t="s">
        <v>97</v>
      </c>
      <c r="K9" s="24" t="s">
        <v>97</v>
      </c>
      <c r="L9" s="28" t="n">
        <v>0</v>
      </c>
      <c r="M9" s="24" t="s">
        <v>160</v>
      </c>
      <c r="N9" s="24" t="s">
        <v>160</v>
      </c>
      <c r="O9" s="28"/>
      <c r="P9" s="29"/>
      <c r="Q9" s="30" t="n">
        <f aca="false">IF($A9="","",F9+G9)</f>
        <v>3015500</v>
      </c>
      <c r="R9" s="31" t="n">
        <f aca="false">IF($A9="","",MAX(0,(I9-Assumptions!$C$3)/Assumptions!$C$11))</f>
        <v>0.580424366872006</v>
      </c>
      <c r="S9" s="32" t="n">
        <f aca="false">IF($A9="","",MATCH(J9,Assumptions!$B$23:$B$40,0))</f>
        <v>8</v>
      </c>
      <c r="T9" s="32" t="n">
        <f aca="false">IF($A9="","",MATCH(K9,Assumptions!$B$23:$B$40,0))</f>
        <v>8</v>
      </c>
      <c r="U9" s="33" t="n">
        <f aca="false">IF($A9="","",T9-S9)</f>
        <v>0</v>
      </c>
      <c r="V9" s="32" t="n">
        <f aca="false">IF($A9="","",IF(OR(L9&gt;Assumptions!$C$7,K9="D",N9="Y"),3,IF(OR(L9&gt;Assumptions!$C$6,M9="Y",AND(U9&gt;=Assumptions!$C$5,NOT(AND(Assumptions!$C$8="Y",T9&lt;=MATCH(Assumptions!$C$9,Assumptions!$B$23:$B$40,0))))),2,1)))</f>
        <v>1</v>
      </c>
      <c r="W9" s="32" t="n">
        <f aca="false">IF($A9="","",IF(O9="",V9,O9))</f>
        <v>1</v>
      </c>
      <c r="X9" s="34" t="n">
        <f aca="false">IF($A9="","",INDEX(Assumptions!$D$23:$D$40,T9))</f>
        <v>0.001</v>
      </c>
      <c r="Y9" s="35" t="n">
        <f aca="false">IF($A9="","",IF(P9="",INDEX(Assumptions!$C$45:$C$51,MATCH(D9,Assumptions!$B$45:$B$51,0)),P9))</f>
        <v>0.45</v>
      </c>
      <c r="Z9" s="36" t="n">
        <f aca="false">IF($A9="","",ECL_Calc!AA9)</f>
        <v>919.015389895505</v>
      </c>
    </row>
    <row r="10" customFormat="false" ht="15" hidden="false" customHeight="false" outlineLevel="0" collapsed="false">
      <c r="A10" s="24" t="s">
        <v>171</v>
      </c>
      <c r="B10" s="24" t="s">
        <v>172</v>
      </c>
      <c r="C10" s="24" t="s">
        <v>173</v>
      </c>
      <c r="D10" s="24" t="s">
        <v>117</v>
      </c>
      <c r="E10" s="24" t="s">
        <v>164</v>
      </c>
      <c r="F10" s="25" t="n">
        <v>4000000</v>
      </c>
      <c r="G10" s="25" t="n">
        <v>38000</v>
      </c>
      <c r="H10" s="26" t="n">
        <v>0.059</v>
      </c>
      <c r="I10" s="27" t="n">
        <v>48832</v>
      </c>
      <c r="J10" s="24" t="s">
        <v>65</v>
      </c>
      <c r="K10" s="24" t="s">
        <v>65</v>
      </c>
      <c r="L10" s="28" t="n">
        <v>45</v>
      </c>
      <c r="M10" s="24" t="s">
        <v>160</v>
      </c>
      <c r="N10" s="24" t="s">
        <v>160</v>
      </c>
      <c r="O10" s="28"/>
      <c r="P10" s="29"/>
      <c r="Q10" s="30" t="n">
        <f aca="false">IF($A10="","",F10+G10)</f>
        <v>4038000</v>
      </c>
      <c r="R10" s="31" t="n">
        <f aca="false">IF($A10="","",MAX(0,(I10-Assumptions!$C$3)/Assumptions!$C$11))</f>
        <v>6.94592744695414</v>
      </c>
      <c r="S10" s="32" t="n">
        <f aca="false">IF($A10="","",MATCH(J10,Assumptions!$B$23:$B$40,0))</f>
        <v>10</v>
      </c>
      <c r="T10" s="32" t="n">
        <f aca="false">IF($A10="","",MATCH(K10,Assumptions!$B$23:$B$40,0))</f>
        <v>10</v>
      </c>
      <c r="U10" s="33" t="n">
        <f aca="false">IF($A10="","",T10-S10)</f>
        <v>0</v>
      </c>
      <c r="V10" s="32" t="n">
        <f aca="false">IF($A10="","",IF(OR(L10&gt;Assumptions!$C$7,K10="D",N10="Y"),3,IF(OR(L10&gt;Assumptions!$C$6,M10="Y",AND(U10&gt;=Assumptions!$C$5,NOT(AND(Assumptions!$C$8="Y",T10&lt;=MATCH(Assumptions!$C$9,Assumptions!$B$23:$B$40,0))))),2,1)))</f>
        <v>2</v>
      </c>
      <c r="W10" s="32" t="n">
        <f aca="false">IF($A10="","",IF(O10="",V10,O10))</f>
        <v>2</v>
      </c>
      <c r="X10" s="34" t="n">
        <f aca="false">IF($A10="","",INDEX(Assumptions!$D$23:$D$40,T10))</f>
        <v>0.0025</v>
      </c>
      <c r="Y10" s="35" t="n">
        <f aca="false">IF($A10="","",IF(P10="",INDEX(Assumptions!$C$45:$C$51,MATCH(D10,Assumptions!$B$45:$B$51,0)),P10))</f>
        <v>0.45</v>
      </c>
      <c r="Z10" s="36" t="n">
        <f aca="false">IF($A10="","",ECL_Calc!AA10)</f>
        <v>30194.1059809945</v>
      </c>
    </row>
    <row r="11" customFormat="false" ht="15" hidden="false" customHeight="false" outlineLevel="0" collapsed="false">
      <c r="A11" s="24" t="s">
        <v>174</v>
      </c>
      <c r="B11" s="24" t="s">
        <v>175</v>
      </c>
      <c r="C11" s="24" t="s">
        <v>176</v>
      </c>
      <c r="D11" s="24" t="s">
        <v>127</v>
      </c>
      <c r="E11" s="24" t="s">
        <v>159</v>
      </c>
      <c r="F11" s="25" t="n">
        <v>2000000</v>
      </c>
      <c r="G11" s="25" t="n">
        <v>60000</v>
      </c>
      <c r="H11" s="26" t="n">
        <v>0.085</v>
      </c>
      <c r="I11" s="27" t="n">
        <v>46811</v>
      </c>
      <c r="J11" s="24" t="s">
        <v>100</v>
      </c>
      <c r="K11" s="24" t="s">
        <v>104</v>
      </c>
      <c r="L11" s="28" t="n">
        <v>0</v>
      </c>
      <c r="M11" s="24" t="s">
        <v>62</v>
      </c>
      <c r="N11" s="24" t="s">
        <v>160</v>
      </c>
      <c r="O11" s="28"/>
      <c r="P11" s="29"/>
      <c r="Q11" s="30" t="n">
        <f aca="false">IF($A11="","",F11+G11)</f>
        <v>2060000</v>
      </c>
      <c r="R11" s="31" t="n">
        <f aca="false">IF($A11="","",MAX(0,(I11-Assumptions!$C$3)/Assumptions!$C$11))</f>
        <v>1.41273100616016</v>
      </c>
      <c r="S11" s="32" t="n">
        <f aca="false">IF($A11="","",MATCH(J11,Assumptions!$B$23:$B$40,0))</f>
        <v>12</v>
      </c>
      <c r="T11" s="32" t="n">
        <f aca="false">IF($A11="","",MATCH(K11,Assumptions!$B$23:$B$40,0))</f>
        <v>16</v>
      </c>
      <c r="U11" s="33" t="n">
        <f aca="false">IF($A11="","",T11-S11)</f>
        <v>4</v>
      </c>
      <c r="V11" s="32" t="n">
        <f aca="false">IF($A11="","",IF(OR(L11&gt;Assumptions!$C$7,K11="D",N11="Y"),3,IF(OR(L11&gt;Assumptions!$C$6,M11="Y",AND(U11&gt;=Assumptions!$C$5,NOT(AND(Assumptions!$C$8="Y",T11&lt;=MATCH(Assumptions!$C$9,Assumptions!$B$23:$B$40,0))))),2,1)))</f>
        <v>2</v>
      </c>
      <c r="W11" s="32" t="n">
        <f aca="false">IF($A11="","",IF(O11="",V11,O11))</f>
        <v>2</v>
      </c>
      <c r="X11" s="34" t="n">
        <f aca="false">IF($A11="","",INDEX(Assumptions!$D$23:$D$40,T11))</f>
        <v>0.05</v>
      </c>
      <c r="Y11" s="35" t="n">
        <f aca="false">IF($A11="","",IF(P11="",INDEX(Assumptions!$C$45:$C$51,MATCH(D11,Assumptions!$B$45:$B$51,0)),P11))</f>
        <v>0.6</v>
      </c>
      <c r="Z11" s="36" t="n">
        <f aca="false">IF($A11="","",ECL_Calc!AA11)</f>
        <v>94720.9050221962</v>
      </c>
    </row>
    <row r="12" customFormat="false" ht="15" hidden="false" customHeight="false" outlineLevel="0" collapsed="false">
      <c r="A12" s="24" t="s">
        <v>177</v>
      </c>
      <c r="B12" s="24" t="s">
        <v>178</v>
      </c>
      <c r="C12" s="24" t="s">
        <v>179</v>
      </c>
      <c r="D12" s="24" t="s">
        <v>124</v>
      </c>
      <c r="E12" s="24" t="s">
        <v>159</v>
      </c>
      <c r="F12" s="25" t="n">
        <v>1500000</v>
      </c>
      <c r="G12" s="25" t="n">
        <v>70000</v>
      </c>
      <c r="H12" s="26" t="n">
        <v>0.09</v>
      </c>
      <c r="I12" s="27" t="n">
        <v>46752</v>
      </c>
      <c r="J12" s="24" t="s">
        <v>101</v>
      </c>
      <c r="K12" s="24" t="s">
        <v>106</v>
      </c>
      <c r="L12" s="28" t="n">
        <v>120</v>
      </c>
      <c r="M12" s="24" t="s">
        <v>160</v>
      </c>
      <c r="N12" s="24" t="s">
        <v>62</v>
      </c>
      <c r="O12" s="28"/>
      <c r="P12" s="29"/>
      <c r="Q12" s="30" t="n">
        <f aca="false">IF($A12="","",F12+G12)</f>
        <v>1570000</v>
      </c>
      <c r="R12" s="31" t="n">
        <f aca="false">IF($A12="","",MAX(0,(I12-Assumptions!$C$3)/Assumptions!$C$11))</f>
        <v>1.25119780971937</v>
      </c>
      <c r="S12" s="32" t="n">
        <f aca="false">IF($A12="","",MATCH(J12,Assumptions!$B$23:$B$40,0))</f>
        <v>13</v>
      </c>
      <c r="T12" s="32" t="n">
        <f aca="false">IF($A12="","",MATCH(K12,Assumptions!$B$23:$B$40,0))</f>
        <v>18</v>
      </c>
      <c r="U12" s="33" t="n">
        <f aca="false">IF($A12="","",T12-S12)</f>
        <v>5</v>
      </c>
      <c r="V12" s="32" t="n">
        <f aca="false">IF($A12="","",IF(OR(L12&gt;Assumptions!$C$7,K12="D",N12="Y"),3,IF(OR(L12&gt;Assumptions!$C$6,M12="Y",AND(U12&gt;=Assumptions!$C$5,NOT(AND(Assumptions!$C$8="Y",T12&lt;=MATCH(Assumptions!$C$9,Assumptions!$B$23:$B$40,0))))),2,1)))</f>
        <v>3</v>
      </c>
      <c r="W12" s="32" t="n">
        <f aca="false">IF($A12="","",IF(O12="",V12,O12))</f>
        <v>3</v>
      </c>
      <c r="X12" s="34" t="n">
        <f aca="false">IF($A12="","",INDEX(Assumptions!$D$23:$D$40,T12))</f>
        <v>1</v>
      </c>
      <c r="Y12" s="35" t="n">
        <f aca="false">IF($A12="","",IF(P12="",INDEX(Assumptions!$C$45:$C$51,MATCH(D12,Assumptions!$B$45:$B$51,0)),P12))</f>
        <v>0.6</v>
      </c>
      <c r="Z12" s="36" t="n">
        <f aca="false">IF($A12="","",ECL_Calc!AA12)</f>
        <v>974970</v>
      </c>
    </row>
    <row r="13" customFormat="false" ht="15" hidden="false" customHeight="false" outlineLevel="0" collapsed="false">
      <c r="A13" s="24" t="s">
        <v>180</v>
      </c>
      <c r="B13" s="24" t="s">
        <v>181</v>
      </c>
      <c r="C13" s="24" t="s">
        <v>182</v>
      </c>
      <c r="D13" s="24" t="s">
        <v>111</v>
      </c>
      <c r="E13" s="24" t="s">
        <v>159</v>
      </c>
      <c r="F13" s="25" t="n">
        <v>8000000</v>
      </c>
      <c r="G13" s="25" t="n">
        <v>64000</v>
      </c>
      <c r="H13" s="26" t="n">
        <v>0.043</v>
      </c>
      <c r="I13" s="27" t="n">
        <v>49689</v>
      </c>
      <c r="J13" s="24" t="s">
        <v>93</v>
      </c>
      <c r="K13" s="24" t="s">
        <v>93</v>
      </c>
      <c r="L13" s="28" t="n">
        <v>0</v>
      </c>
      <c r="M13" s="24" t="s">
        <v>160</v>
      </c>
      <c r="N13" s="24" t="s">
        <v>160</v>
      </c>
      <c r="O13" s="28"/>
      <c r="P13" s="29"/>
      <c r="Q13" s="30" t="n">
        <f aca="false">IF($A13="","",F13+G13)</f>
        <v>8064000</v>
      </c>
      <c r="R13" s="31" t="n">
        <f aca="false">IF($A13="","",MAX(0,(I13-Assumptions!$C$3)/Assumptions!$C$11))</f>
        <v>9.29226557152635</v>
      </c>
      <c r="S13" s="32" t="n">
        <f aca="false">IF($A13="","",MATCH(J13,Assumptions!$B$23:$B$40,0))</f>
        <v>4</v>
      </c>
      <c r="T13" s="32" t="n">
        <f aca="false">IF($A13="","",MATCH(K13,Assumptions!$B$23:$B$40,0))</f>
        <v>4</v>
      </c>
      <c r="U13" s="33" t="n">
        <f aca="false">IF($A13="","",T13-S13)</f>
        <v>0</v>
      </c>
      <c r="V13" s="32" t="n">
        <f aca="false">IF($A13="","",IF(OR(L13&gt;Assumptions!$C$7,K13="D",N13="Y"),3,IF(OR(L13&gt;Assumptions!$C$6,M13="Y",AND(U13&gt;=Assumptions!$C$5,NOT(AND(Assumptions!$C$8="Y",T13&lt;=MATCH(Assumptions!$C$9,Assumptions!$B$23:$B$40,0))))),2,1)))</f>
        <v>1</v>
      </c>
      <c r="W13" s="32" t="n">
        <f aca="false">IF($A13="","",IF(O13="",V13,O13))</f>
        <v>1</v>
      </c>
      <c r="X13" s="34" t="n">
        <f aca="false">IF($A13="","",INDEX(Assumptions!$D$23:$D$40,T13))</f>
        <v>0.0003</v>
      </c>
      <c r="Y13" s="35" t="n">
        <f aca="false">IF($A13="","",IF(P13="",INDEX(Assumptions!$C$45:$C$51,MATCH(D13,Assumptions!$B$45:$B$51,0)),P13))</f>
        <v>0.4</v>
      </c>
      <c r="Z13" s="36" t="n">
        <f aca="false">IF($A13="","",ECL_Calc!AA13)</f>
        <v>1117.05342281879</v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5"/>
      <c r="G14" s="25"/>
      <c r="H14" s="26"/>
      <c r="I14" s="27"/>
      <c r="J14" s="24"/>
      <c r="K14" s="24"/>
      <c r="L14" s="28"/>
      <c r="M14" s="24"/>
      <c r="N14" s="24"/>
      <c r="O14" s="28"/>
      <c r="P14" s="29"/>
      <c r="Q14" s="30" t="str">
        <f aca="false">IF($A14="","",F14+G14)</f>
        <v/>
      </c>
      <c r="R14" s="31" t="str">
        <f aca="false">IF($A14="","",MAX(0,(I14-Assumptions!$C$3)/Assumptions!$C$11))</f>
        <v/>
      </c>
      <c r="S14" s="32" t="str">
        <f aca="false">IF($A14="","",MATCH(J14,Assumptions!$B$23:$B$40,0))</f>
        <v/>
      </c>
      <c r="T14" s="32" t="str">
        <f aca="false">IF($A14="","",MATCH(K14,Assumptions!$B$23:$B$40,0))</f>
        <v/>
      </c>
      <c r="U14" s="33" t="str">
        <f aca="false">IF($A14="","",T14-S14)</f>
        <v/>
      </c>
      <c r="V14" s="32" t="str">
        <f aca="false">IF($A14="","",IF(OR(L14&gt;Assumptions!$C$7,K14="D",N14="Y"),3,IF(OR(L14&gt;Assumptions!$C$6,M14="Y",AND(U14&gt;=Assumptions!$C$5,NOT(AND(Assumptions!$C$8="Y",T14&lt;=MATCH(Assumptions!$C$9,Assumptions!$B$23:$B$40,0))))),2,1)))</f>
        <v/>
      </c>
      <c r="W14" s="32" t="str">
        <f aca="false">IF($A14="","",IF(O14="",V14,O14))</f>
        <v/>
      </c>
      <c r="X14" s="34" t="str">
        <f aca="false">IF($A14="","",INDEX(Assumptions!$D$23:$D$40,T14))</f>
        <v/>
      </c>
      <c r="Y14" s="35" t="str">
        <f aca="false">IF($A14="","",IF(P14="",INDEX(Assumptions!$C$45:$C$51,MATCH(D14,Assumptions!$B$45:$B$51,0)),P14))</f>
        <v/>
      </c>
      <c r="Z14" s="36" t="str">
        <f aca="false">IF($A14="","",ECL_Calc!AA14)</f>
        <v/>
      </c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5"/>
      <c r="G15" s="25"/>
      <c r="H15" s="26"/>
      <c r="I15" s="27"/>
      <c r="J15" s="24"/>
      <c r="K15" s="24"/>
      <c r="L15" s="28"/>
      <c r="M15" s="24"/>
      <c r="N15" s="24"/>
      <c r="O15" s="28"/>
      <c r="P15" s="29"/>
      <c r="Q15" s="30" t="str">
        <f aca="false">IF($A15="","",F15+G15)</f>
        <v/>
      </c>
      <c r="R15" s="31" t="str">
        <f aca="false">IF($A15="","",MAX(0,(I15-Assumptions!$C$3)/Assumptions!$C$11))</f>
        <v/>
      </c>
      <c r="S15" s="32" t="str">
        <f aca="false">IF($A15="","",MATCH(J15,Assumptions!$B$23:$B$40,0))</f>
        <v/>
      </c>
      <c r="T15" s="32" t="str">
        <f aca="false">IF($A15="","",MATCH(K15,Assumptions!$B$23:$B$40,0))</f>
        <v/>
      </c>
      <c r="U15" s="33" t="str">
        <f aca="false">IF($A15="","",T15-S15)</f>
        <v/>
      </c>
      <c r="V15" s="32" t="str">
        <f aca="false">IF($A15="","",IF(OR(L15&gt;Assumptions!$C$7,K15="D",N15="Y"),3,IF(OR(L15&gt;Assumptions!$C$6,M15="Y",AND(U15&gt;=Assumptions!$C$5,NOT(AND(Assumptions!$C$8="Y",T15&lt;=MATCH(Assumptions!$C$9,Assumptions!$B$23:$B$40,0))))),2,1)))</f>
        <v/>
      </c>
      <c r="W15" s="32" t="str">
        <f aca="false">IF($A15="","",IF(O15="",V15,O15))</f>
        <v/>
      </c>
      <c r="X15" s="34" t="str">
        <f aca="false">IF($A15="","",INDEX(Assumptions!$D$23:$D$40,T15))</f>
        <v/>
      </c>
      <c r="Y15" s="35" t="str">
        <f aca="false">IF($A15="","",IF(P15="",INDEX(Assumptions!$C$45:$C$51,MATCH(D15,Assumptions!$B$45:$B$51,0)),P15))</f>
        <v/>
      </c>
      <c r="Z15" s="36" t="str">
        <f aca="false">IF($A15="","",ECL_Calc!AA15)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5"/>
      <c r="G16" s="25"/>
      <c r="H16" s="26"/>
      <c r="I16" s="27"/>
      <c r="J16" s="24"/>
      <c r="K16" s="24"/>
      <c r="L16" s="28"/>
      <c r="M16" s="24"/>
      <c r="N16" s="24"/>
      <c r="O16" s="28"/>
      <c r="P16" s="29"/>
      <c r="Q16" s="30" t="str">
        <f aca="false">IF($A16="","",F16+G16)</f>
        <v/>
      </c>
      <c r="R16" s="31" t="str">
        <f aca="false">IF($A16="","",MAX(0,(I16-Assumptions!$C$3)/Assumptions!$C$11))</f>
        <v/>
      </c>
      <c r="S16" s="32" t="str">
        <f aca="false">IF($A16="","",MATCH(J16,Assumptions!$B$23:$B$40,0))</f>
        <v/>
      </c>
      <c r="T16" s="32" t="str">
        <f aca="false">IF($A16="","",MATCH(K16,Assumptions!$B$23:$B$40,0))</f>
        <v/>
      </c>
      <c r="U16" s="33" t="str">
        <f aca="false">IF($A16="","",T16-S16)</f>
        <v/>
      </c>
      <c r="V16" s="32" t="str">
        <f aca="false">IF($A16="","",IF(OR(L16&gt;Assumptions!$C$7,K16="D",N16="Y"),3,IF(OR(L16&gt;Assumptions!$C$6,M16="Y",AND(U16&gt;=Assumptions!$C$5,NOT(AND(Assumptions!$C$8="Y",T16&lt;=MATCH(Assumptions!$C$9,Assumptions!$B$23:$B$40,0))))),2,1)))</f>
        <v/>
      </c>
      <c r="W16" s="32" t="str">
        <f aca="false">IF($A16="","",IF(O16="",V16,O16))</f>
        <v/>
      </c>
      <c r="X16" s="34" t="str">
        <f aca="false">IF($A16="","",INDEX(Assumptions!$D$23:$D$40,T16))</f>
        <v/>
      </c>
      <c r="Y16" s="35" t="str">
        <f aca="false">IF($A16="","",IF(P16="",INDEX(Assumptions!$C$45:$C$51,MATCH(D16,Assumptions!$B$45:$B$51,0)),P16))</f>
        <v/>
      </c>
      <c r="Z16" s="36" t="str">
        <f aca="false">IF($A16="","",ECL_Calc!AA16)</f>
        <v/>
      </c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5"/>
      <c r="G17" s="25"/>
      <c r="H17" s="26"/>
      <c r="I17" s="27"/>
      <c r="J17" s="24"/>
      <c r="K17" s="24"/>
      <c r="L17" s="28"/>
      <c r="M17" s="24"/>
      <c r="N17" s="24"/>
      <c r="O17" s="28"/>
      <c r="P17" s="29"/>
      <c r="Q17" s="30" t="str">
        <f aca="false">IF($A17="","",F17+G17)</f>
        <v/>
      </c>
      <c r="R17" s="31" t="str">
        <f aca="false">IF($A17="","",MAX(0,(I17-Assumptions!$C$3)/Assumptions!$C$11))</f>
        <v/>
      </c>
      <c r="S17" s="32" t="str">
        <f aca="false">IF($A17="","",MATCH(J17,Assumptions!$B$23:$B$40,0))</f>
        <v/>
      </c>
      <c r="T17" s="32" t="str">
        <f aca="false">IF($A17="","",MATCH(K17,Assumptions!$B$23:$B$40,0))</f>
        <v/>
      </c>
      <c r="U17" s="33" t="str">
        <f aca="false">IF($A17="","",T17-S17)</f>
        <v/>
      </c>
      <c r="V17" s="32" t="str">
        <f aca="false">IF($A17="","",IF(OR(L17&gt;Assumptions!$C$7,K17="D",N17="Y"),3,IF(OR(L17&gt;Assumptions!$C$6,M17="Y",AND(U17&gt;=Assumptions!$C$5,NOT(AND(Assumptions!$C$8="Y",T17&lt;=MATCH(Assumptions!$C$9,Assumptions!$B$23:$B$40,0))))),2,1)))</f>
        <v/>
      </c>
      <c r="W17" s="32" t="str">
        <f aca="false">IF($A17="","",IF(O17="",V17,O17))</f>
        <v/>
      </c>
      <c r="X17" s="34" t="str">
        <f aca="false">IF($A17="","",INDEX(Assumptions!$D$23:$D$40,T17))</f>
        <v/>
      </c>
      <c r="Y17" s="35" t="str">
        <f aca="false">IF($A17="","",IF(P17="",INDEX(Assumptions!$C$45:$C$51,MATCH(D17,Assumptions!$B$45:$B$51,0)),P17))</f>
        <v/>
      </c>
      <c r="Z17" s="36" t="str">
        <f aca="false">IF($A17="","",ECL_Calc!AA17)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5"/>
      <c r="G18" s="25"/>
      <c r="H18" s="26"/>
      <c r="I18" s="27"/>
      <c r="J18" s="24"/>
      <c r="K18" s="24"/>
      <c r="L18" s="28"/>
      <c r="M18" s="24"/>
      <c r="N18" s="24"/>
      <c r="O18" s="28"/>
      <c r="P18" s="29"/>
      <c r="Q18" s="30" t="str">
        <f aca="false">IF($A18="","",F18+G18)</f>
        <v/>
      </c>
      <c r="R18" s="31" t="str">
        <f aca="false">IF($A18="","",MAX(0,(I18-Assumptions!$C$3)/Assumptions!$C$11))</f>
        <v/>
      </c>
      <c r="S18" s="32" t="str">
        <f aca="false">IF($A18="","",MATCH(J18,Assumptions!$B$23:$B$40,0))</f>
        <v/>
      </c>
      <c r="T18" s="32" t="str">
        <f aca="false">IF($A18="","",MATCH(K18,Assumptions!$B$23:$B$40,0))</f>
        <v/>
      </c>
      <c r="U18" s="33" t="str">
        <f aca="false">IF($A18="","",T18-S18)</f>
        <v/>
      </c>
      <c r="V18" s="32" t="str">
        <f aca="false">IF($A18="","",IF(OR(L18&gt;Assumptions!$C$7,K18="D",N18="Y"),3,IF(OR(L18&gt;Assumptions!$C$6,M18="Y",AND(U18&gt;=Assumptions!$C$5,NOT(AND(Assumptions!$C$8="Y",T18&lt;=MATCH(Assumptions!$C$9,Assumptions!$B$23:$B$40,0))))),2,1)))</f>
        <v/>
      </c>
      <c r="W18" s="32" t="str">
        <f aca="false">IF($A18="","",IF(O18="",V18,O18))</f>
        <v/>
      </c>
      <c r="X18" s="34" t="str">
        <f aca="false">IF($A18="","",INDEX(Assumptions!$D$23:$D$40,T18))</f>
        <v/>
      </c>
      <c r="Y18" s="35" t="str">
        <f aca="false">IF($A18="","",IF(P18="",INDEX(Assumptions!$C$45:$C$51,MATCH(D18,Assumptions!$B$45:$B$51,0)),P18))</f>
        <v/>
      </c>
      <c r="Z18" s="36" t="str">
        <f aca="false">IF($A18="","",ECL_Calc!AA18)</f>
        <v/>
      </c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5"/>
      <c r="G19" s="25"/>
      <c r="H19" s="26"/>
      <c r="I19" s="27"/>
      <c r="J19" s="24"/>
      <c r="K19" s="24"/>
      <c r="L19" s="28"/>
      <c r="M19" s="24"/>
      <c r="N19" s="24"/>
      <c r="O19" s="28"/>
      <c r="P19" s="29"/>
      <c r="Q19" s="30" t="str">
        <f aca="false">IF($A19="","",F19+G19)</f>
        <v/>
      </c>
      <c r="R19" s="31" t="str">
        <f aca="false">IF($A19="","",MAX(0,(I19-Assumptions!$C$3)/Assumptions!$C$11))</f>
        <v/>
      </c>
      <c r="S19" s="32" t="str">
        <f aca="false">IF($A19="","",MATCH(J19,Assumptions!$B$23:$B$40,0))</f>
        <v/>
      </c>
      <c r="T19" s="32" t="str">
        <f aca="false">IF($A19="","",MATCH(K19,Assumptions!$B$23:$B$40,0))</f>
        <v/>
      </c>
      <c r="U19" s="33" t="str">
        <f aca="false">IF($A19="","",T19-S19)</f>
        <v/>
      </c>
      <c r="V19" s="32" t="str">
        <f aca="false">IF($A19="","",IF(OR(L19&gt;Assumptions!$C$7,K19="D",N19="Y"),3,IF(OR(L19&gt;Assumptions!$C$6,M19="Y",AND(U19&gt;=Assumptions!$C$5,NOT(AND(Assumptions!$C$8="Y",T19&lt;=MATCH(Assumptions!$C$9,Assumptions!$B$23:$B$40,0))))),2,1)))</f>
        <v/>
      </c>
      <c r="W19" s="32" t="str">
        <f aca="false">IF($A19="","",IF(O19="",V19,O19))</f>
        <v/>
      </c>
      <c r="X19" s="34" t="str">
        <f aca="false">IF($A19="","",INDEX(Assumptions!$D$23:$D$40,T19))</f>
        <v/>
      </c>
      <c r="Y19" s="35" t="str">
        <f aca="false">IF($A19="","",IF(P19="",INDEX(Assumptions!$C$45:$C$51,MATCH(D19,Assumptions!$B$45:$B$51,0)),P19))</f>
        <v/>
      </c>
      <c r="Z19" s="36" t="str">
        <f aca="false">IF($A19="","",ECL_Calc!AA19)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5"/>
      <c r="G20" s="25"/>
      <c r="H20" s="26"/>
      <c r="I20" s="27"/>
      <c r="J20" s="24"/>
      <c r="K20" s="24"/>
      <c r="L20" s="28"/>
      <c r="M20" s="24"/>
      <c r="N20" s="24"/>
      <c r="O20" s="28"/>
      <c r="P20" s="29"/>
      <c r="Q20" s="30" t="str">
        <f aca="false">IF($A20="","",F20+G20)</f>
        <v/>
      </c>
      <c r="R20" s="31" t="str">
        <f aca="false">IF($A20="","",MAX(0,(I20-Assumptions!$C$3)/Assumptions!$C$11))</f>
        <v/>
      </c>
      <c r="S20" s="32" t="str">
        <f aca="false">IF($A20="","",MATCH(J20,Assumptions!$B$23:$B$40,0))</f>
        <v/>
      </c>
      <c r="T20" s="32" t="str">
        <f aca="false">IF($A20="","",MATCH(K20,Assumptions!$B$23:$B$40,0))</f>
        <v/>
      </c>
      <c r="U20" s="33" t="str">
        <f aca="false">IF($A20="","",T20-S20)</f>
        <v/>
      </c>
      <c r="V20" s="32" t="str">
        <f aca="false">IF($A20="","",IF(OR(L20&gt;Assumptions!$C$7,K20="D",N20="Y"),3,IF(OR(L20&gt;Assumptions!$C$6,M20="Y",AND(U20&gt;=Assumptions!$C$5,NOT(AND(Assumptions!$C$8="Y",T20&lt;=MATCH(Assumptions!$C$9,Assumptions!$B$23:$B$40,0))))),2,1)))</f>
        <v/>
      </c>
      <c r="W20" s="32" t="str">
        <f aca="false">IF($A20="","",IF(O20="",V20,O20))</f>
        <v/>
      </c>
      <c r="X20" s="34" t="str">
        <f aca="false">IF($A20="","",INDEX(Assumptions!$D$23:$D$40,T20))</f>
        <v/>
      </c>
      <c r="Y20" s="35" t="str">
        <f aca="false">IF($A20="","",IF(P20="",INDEX(Assumptions!$C$45:$C$51,MATCH(D20,Assumptions!$B$45:$B$51,0)),P20))</f>
        <v/>
      </c>
      <c r="Z20" s="36" t="str">
        <f aca="false">IF($A20="","",ECL_Calc!AA20)</f>
        <v/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5"/>
      <c r="G21" s="25"/>
      <c r="H21" s="26"/>
      <c r="I21" s="27"/>
      <c r="J21" s="24"/>
      <c r="K21" s="24"/>
      <c r="L21" s="28"/>
      <c r="M21" s="24"/>
      <c r="N21" s="24"/>
      <c r="O21" s="28"/>
      <c r="P21" s="29"/>
      <c r="Q21" s="30" t="str">
        <f aca="false">IF($A21="","",F21+G21)</f>
        <v/>
      </c>
      <c r="R21" s="31" t="str">
        <f aca="false">IF($A21="","",MAX(0,(I21-Assumptions!$C$3)/Assumptions!$C$11))</f>
        <v/>
      </c>
      <c r="S21" s="32" t="str">
        <f aca="false">IF($A21="","",MATCH(J21,Assumptions!$B$23:$B$40,0))</f>
        <v/>
      </c>
      <c r="T21" s="32" t="str">
        <f aca="false">IF($A21="","",MATCH(K21,Assumptions!$B$23:$B$40,0))</f>
        <v/>
      </c>
      <c r="U21" s="33" t="str">
        <f aca="false">IF($A21="","",T21-S21)</f>
        <v/>
      </c>
      <c r="V21" s="32" t="str">
        <f aca="false">IF($A21="","",IF(OR(L21&gt;Assumptions!$C$7,K21="D",N21="Y"),3,IF(OR(L21&gt;Assumptions!$C$6,M21="Y",AND(U21&gt;=Assumptions!$C$5,NOT(AND(Assumptions!$C$8="Y",T21&lt;=MATCH(Assumptions!$C$9,Assumptions!$B$23:$B$40,0))))),2,1)))</f>
        <v/>
      </c>
      <c r="W21" s="32" t="str">
        <f aca="false">IF($A21="","",IF(O21="",V21,O21))</f>
        <v/>
      </c>
      <c r="X21" s="34" t="str">
        <f aca="false">IF($A21="","",INDEX(Assumptions!$D$23:$D$40,T21))</f>
        <v/>
      </c>
      <c r="Y21" s="35" t="str">
        <f aca="false">IF($A21="","",IF(P21="",INDEX(Assumptions!$C$45:$C$51,MATCH(D21,Assumptions!$B$45:$B$51,0)),P21))</f>
        <v/>
      </c>
      <c r="Z21" s="36" t="str">
        <f aca="false">IF($A21="","",ECL_Calc!AA21)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5"/>
      <c r="G22" s="25"/>
      <c r="H22" s="26"/>
      <c r="I22" s="27"/>
      <c r="J22" s="24"/>
      <c r="K22" s="24"/>
      <c r="L22" s="28"/>
      <c r="M22" s="24"/>
      <c r="N22" s="24"/>
      <c r="O22" s="28"/>
      <c r="P22" s="29"/>
      <c r="Q22" s="30" t="str">
        <f aca="false">IF($A22="","",F22+G22)</f>
        <v/>
      </c>
      <c r="R22" s="31" t="str">
        <f aca="false">IF($A22="","",MAX(0,(I22-Assumptions!$C$3)/Assumptions!$C$11))</f>
        <v/>
      </c>
      <c r="S22" s="32" t="str">
        <f aca="false">IF($A22="","",MATCH(J22,Assumptions!$B$23:$B$40,0))</f>
        <v/>
      </c>
      <c r="T22" s="32" t="str">
        <f aca="false">IF($A22="","",MATCH(K22,Assumptions!$B$23:$B$40,0))</f>
        <v/>
      </c>
      <c r="U22" s="33" t="str">
        <f aca="false">IF($A22="","",T22-S22)</f>
        <v/>
      </c>
      <c r="V22" s="32" t="str">
        <f aca="false">IF($A22="","",IF(OR(L22&gt;Assumptions!$C$7,K22="D",N22="Y"),3,IF(OR(L22&gt;Assumptions!$C$6,M22="Y",AND(U22&gt;=Assumptions!$C$5,NOT(AND(Assumptions!$C$8="Y",T22&lt;=MATCH(Assumptions!$C$9,Assumptions!$B$23:$B$40,0))))),2,1)))</f>
        <v/>
      </c>
      <c r="W22" s="32" t="str">
        <f aca="false">IF($A22="","",IF(O22="",V22,O22))</f>
        <v/>
      </c>
      <c r="X22" s="34" t="str">
        <f aca="false">IF($A22="","",INDEX(Assumptions!$D$23:$D$40,T22))</f>
        <v/>
      </c>
      <c r="Y22" s="35" t="str">
        <f aca="false">IF($A22="","",IF(P22="",INDEX(Assumptions!$C$45:$C$51,MATCH(D22,Assumptions!$B$45:$B$51,0)),P22))</f>
        <v/>
      </c>
      <c r="Z22" s="36" t="str">
        <f aca="false">IF($A22="","",ECL_Calc!AA22)</f>
        <v/>
      </c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5"/>
      <c r="G23" s="25"/>
      <c r="H23" s="26"/>
      <c r="I23" s="27"/>
      <c r="J23" s="24"/>
      <c r="K23" s="24"/>
      <c r="L23" s="28"/>
      <c r="M23" s="24"/>
      <c r="N23" s="24"/>
      <c r="O23" s="28"/>
      <c r="P23" s="29"/>
      <c r="Q23" s="30" t="str">
        <f aca="false">IF($A23="","",F23+G23)</f>
        <v/>
      </c>
      <c r="R23" s="31" t="str">
        <f aca="false">IF($A23="","",MAX(0,(I23-Assumptions!$C$3)/Assumptions!$C$11))</f>
        <v/>
      </c>
      <c r="S23" s="32" t="str">
        <f aca="false">IF($A23="","",MATCH(J23,Assumptions!$B$23:$B$40,0))</f>
        <v/>
      </c>
      <c r="T23" s="32" t="str">
        <f aca="false">IF($A23="","",MATCH(K23,Assumptions!$B$23:$B$40,0))</f>
        <v/>
      </c>
      <c r="U23" s="33" t="str">
        <f aca="false">IF($A23="","",T23-S23)</f>
        <v/>
      </c>
      <c r="V23" s="32" t="str">
        <f aca="false">IF($A23="","",IF(OR(L23&gt;Assumptions!$C$7,K23="D",N23="Y"),3,IF(OR(L23&gt;Assumptions!$C$6,M23="Y",AND(U23&gt;=Assumptions!$C$5,NOT(AND(Assumptions!$C$8="Y",T23&lt;=MATCH(Assumptions!$C$9,Assumptions!$B$23:$B$40,0))))),2,1)))</f>
        <v/>
      </c>
      <c r="W23" s="32" t="str">
        <f aca="false">IF($A23="","",IF(O23="",V23,O23))</f>
        <v/>
      </c>
      <c r="X23" s="34" t="str">
        <f aca="false">IF($A23="","",INDEX(Assumptions!$D$23:$D$40,T23))</f>
        <v/>
      </c>
      <c r="Y23" s="35" t="str">
        <f aca="false">IF($A23="","",IF(P23="",INDEX(Assumptions!$C$45:$C$51,MATCH(D23,Assumptions!$B$45:$B$51,0)),P23))</f>
        <v/>
      </c>
      <c r="Z23" s="36" t="str">
        <f aca="false">IF($A23="","",ECL_Calc!AA23)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5"/>
      <c r="G24" s="25"/>
      <c r="H24" s="26"/>
      <c r="I24" s="27"/>
      <c r="J24" s="24"/>
      <c r="K24" s="24"/>
      <c r="L24" s="28"/>
      <c r="M24" s="24"/>
      <c r="N24" s="24"/>
      <c r="O24" s="28"/>
      <c r="P24" s="29"/>
      <c r="Q24" s="30" t="str">
        <f aca="false">IF($A24="","",F24+G24)</f>
        <v/>
      </c>
      <c r="R24" s="31" t="str">
        <f aca="false">IF($A24="","",MAX(0,(I24-Assumptions!$C$3)/Assumptions!$C$11))</f>
        <v/>
      </c>
      <c r="S24" s="32" t="str">
        <f aca="false">IF($A24="","",MATCH(J24,Assumptions!$B$23:$B$40,0))</f>
        <v/>
      </c>
      <c r="T24" s="32" t="str">
        <f aca="false">IF($A24="","",MATCH(K24,Assumptions!$B$23:$B$40,0))</f>
        <v/>
      </c>
      <c r="U24" s="33" t="str">
        <f aca="false">IF($A24="","",T24-S24)</f>
        <v/>
      </c>
      <c r="V24" s="32" t="str">
        <f aca="false">IF($A24="","",IF(OR(L24&gt;Assumptions!$C$7,K24="D",N24="Y"),3,IF(OR(L24&gt;Assumptions!$C$6,M24="Y",AND(U24&gt;=Assumptions!$C$5,NOT(AND(Assumptions!$C$8="Y",T24&lt;=MATCH(Assumptions!$C$9,Assumptions!$B$23:$B$40,0))))),2,1)))</f>
        <v/>
      </c>
      <c r="W24" s="32" t="str">
        <f aca="false">IF($A24="","",IF(O24="",V24,O24))</f>
        <v/>
      </c>
      <c r="X24" s="34" t="str">
        <f aca="false">IF($A24="","",INDEX(Assumptions!$D$23:$D$40,T24))</f>
        <v/>
      </c>
      <c r="Y24" s="35" t="str">
        <f aca="false">IF($A24="","",IF(P24="",INDEX(Assumptions!$C$45:$C$51,MATCH(D24,Assumptions!$B$45:$B$51,0)),P24))</f>
        <v/>
      </c>
      <c r="Z24" s="36" t="str">
        <f aca="false">IF($A24="","",ECL_Calc!AA24)</f>
        <v/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5"/>
      <c r="G25" s="25"/>
      <c r="H25" s="26"/>
      <c r="I25" s="27"/>
      <c r="J25" s="24"/>
      <c r="K25" s="24"/>
      <c r="L25" s="28"/>
      <c r="M25" s="24"/>
      <c r="N25" s="24"/>
      <c r="O25" s="28"/>
      <c r="P25" s="29"/>
      <c r="Q25" s="30" t="str">
        <f aca="false">IF($A25="","",F25+G25)</f>
        <v/>
      </c>
      <c r="R25" s="31" t="str">
        <f aca="false">IF($A25="","",MAX(0,(I25-Assumptions!$C$3)/Assumptions!$C$11))</f>
        <v/>
      </c>
      <c r="S25" s="32" t="str">
        <f aca="false">IF($A25="","",MATCH(J25,Assumptions!$B$23:$B$40,0))</f>
        <v/>
      </c>
      <c r="T25" s="32" t="str">
        <f aca="false">IF($A25="","",MATCH(K25,Assumptions!$B$23:$B$40,0))</f>
        <v/>
      </c>
      <c r="U25" s="33" t="str">
        <f aca="false">IF($A25="","",T25-S25)</f>
        <v/>
      </c>
      <c r="V25" s="32" t="str">
        <f aca="false">IF($A25="","",IF(OR(L25&gt;Assumptions!$C$7,K25="D",N25="Y"),3,IF(OR(L25&gt;Assumptions!$C$6,M25="Y",AND(U25&gt;=Assumptions!$C$5,NOT(AND(Assumptions!$C$8="Y",T25&lt;=MATCH(Assumptions!$C$9,Assumptions!$B$23:$B$40,0))))),2,1)))</f>
        <v/>
      </c>
      <c r="W25" s="32" t="str">
        <f aca="false">IF($A25="","",IF(O25="",V25,O25))</f>
        <v/>
      </c>
      <c r="X25" s="34" t="str">
        <f aca="false">IF($A25="","",INDEX(Assumptions!$D$23:$D$40,T25))</f>
        <v/>
      </c>
      <c r="Y25" s="35" t="str">
        <f aca="false">IF($A25="","",IF(P25="",INDEX(Assumptions!$C$45:$C$51,MATCH(D25,Assumptions!$B$45:$B$51,0)),P25))</f>
        <v/>
      </c>
      <c r="Z25" s="36" t="str">
        <f aca="false">IF($A25="","",ECL_Calc!AA25)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5"/>
      <c r="G26" s="25"/>
      <c r="H26" s="26"/>
      <c r="I26" s="27"/>
      <c r="J26" s="24"/>
      <c r="K26" s="24"/>
      <c r="L26" s="28"/>
      <c r="M26" s="24"/>
      <c r="N26" s="24"/>
      <c r="O26" s="28"/>
      <c r="P26" s="29"/>
      <c r="Q26" s="30" t="str">
        <f aca="false">IF($A26="","",F26+G26)</f>
        <v/>
      </c>
      <c r="R26" s="31" t="str">
        <f aca="false">IF($A26="","",MAX(0,(I26-Assumptions!$C$3)/Assumptions!$C$11))</f>
        <v/>
      </c>
      <c r="S26" s="32" t="str">
        <f aca="false">IF($A26="","",MATCH(J26,Assumptions!$B$23:$B$40,0))</f>
        <v/>
      </c>
      <c r="T26" s="32" t="str">
        <f aca="false">IF($A26="","",MATCH(K26,Assumptions!$B$23:$B$40,0))</f>
        <v/>
      </c>
      <c r="U26" s="33" t="str">
        <f aca="false">IF($A26="","",T26-S26)</f>
        <v/>
      </c>
      <c r="V26" s="32" t="str">
        <f aca="false">IF($A26="","",IF(OR(L26&gt;Assumptions!$C$7,K26="D",N26="Y"),3,IF(OR(L26&gt;Assumptions!$C$6,M26="Y",AND(U26&gt;=Assumptions!$C$5,NOT(AND(Assumptions!$C$8="Y",T26&lt;=MATCH(Assumptions!$C$9,Assumptions!$B$23:$B$40,0))))),2,1)))</f>
        <v/>
      </c>
      <c r="W26" s="32" t="str">
        <f aca="false">IF($A26="","",IF(O26="",V26,O26))</f>
        <v/>
      </c>
      <c r="X26" s="34" t="str">
        <f aca="false">IF($A26="","",INDEX(Assumptions!$D$23:$D$40,T26))</f>
        <v/>
      </c>
      <c r="Y26" s="35" t="str">
        <f aca="false">IF($A26="","",IF(P26="",INDEX(Assumptions!$C$45:$C$51,MATCH(D26,Assumptions!$B$45:$B$51,0)),P26))</f>
        <v/>
      </c>
      <c r="Z26" s="36" t="str">
        <f aca="false">IF($A26="","",ECL_Calc!AA26)</f>
        <v/>
      </c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5"/>
      <c r="G27" s="25"/>
      <c r="H27" s="26"/>
      <c r="I27" s="27"/>
      <c r="J27" s="24"/>
      <c r="K27" s="24"/>
      <c r="L27" s="28"/>
      <c r="M27" s="24"/>
      <c r="N27" s="24"/>
      <c r="O27" s="28"/>
      <c r="P27" s="29"/>
      <c r="Q27" s="30" t="str">
        <f aca="false">IF($A27="","",F27+G27)</f>
        <v/>
      </c>
      <c r="R27" s="31" t="str">
        <f aca="false">IF($A27="","",MAX(0,(I27-Assumptions!$C$3)/Assumptions!$C$11))</f>
        <v/>
      </c>
      <c r="S27" s="32" t="str">
        <f aca="false">IF($A27="","",MATCH(J27,Assumptions!$B$23:$B$40,0))</f>
        <v/>
      </c>
      <c r="T27" s="32" t="str">
        <f aca="false">IF($A27="","",MATCH(K27,Assumptions!$B$23:$B$40,0))</f>
        <v/>
      </c>
      <c r="U27" s="33" t="str">
        <f aca="false">IF($A27="","",T27-S27)</f>
        <v/>
      </c>
      <c r="V27" s="32" t="str">
        <f aca="false">IF($A27="","",IF(OR(L27&gt;Assumptions!$C$7,K27="D",N27="Y"),3,IF(OR(L27&gt;Assumptions!$C$6,M27="Y",AND(U27&gt;=Assumptions!$C$5,NOT(AND(Assumptions!$C$8="Y",T27&lt;=MATCH(Assumptions!$C$9,Assumptions!$B$23:$B$40,0))))),2,1)))</f>
        <v/>
      </c>
      <c r="W27" s="32" t="str">
        <f aca="false">IF($A27="","",IF(O27="",V27,O27))</f>
        <v/>
      </c>
      <c r="X27" s="34" t="str">
        <f aca="false">IF($A27="","",INDEX(Assumptions!$D$23:$D$40,T27))</f>
        <v/>
      </c>
      <c r="Y27" s="35" t="str">
        <f aca="false">IF($A27="","",IF(P27="",INDEX(Assumptions!$C$45:$C$51,MATCH(D27,Assumptions!$B$45:$B$51,0)),P27))</f>
        <v/>
      </c>
      <c r="Z27" s="36" t="str">
        <f aca="false">IF($A27="","",ECL_Calc!AA27)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5"/>
      <c r="G28" s="25"/>
      <c r="H28" s="26"/>
      <c r="I28" s="27"/>
      <c r="J28" s="24"/>
      <c r="K28" s="24"/>
      <c r="L28" s="28"/>
      <c r="M28" s="24"/>
      <c r="N28" s="24"/>
      <c r="O28" s="28"/>
      <c r="P28" s="29"/>
      <c r="Q28" s="30" t="str">
        <f aca="false">IF($A28="","",F28+G28)</f>
        <v/>
      </c>
      <c r="R28" s="31" t="str">
        <f aca="false">IF($A28="","",MAX(0,(I28-Assumptions!$C$3)/Assumptions!$C$11))</f>
        <v/>
      </c>
      <c r="S28" s="32" t="str">
        <f aca="false">IF($A28="","",MATCH(J28,Assumptions!$B$23:$B$40,0))</f>
        <v/>
      </c>
      <c r="T28" s="32" t="str">
        <f aca="false">IF($A28="","",MATCH(K28,Assumptions!$B$23:$B$40,0))</f>
        <v/>
      </c>
      <c r="U28" s="33" t="str">
        <f aca="false">IF($A28="","",T28-S28)</f>
        <v/>
      </c>
      <c r="V28" s="32" t="str">
        <f aca="false">IF($A28="","",IF(OR(L28&gt;Assumptions!$C$7,K28="D",N28="Y"),3,IF(OR(L28&gt;Assumptions!$C$6,M28="Y",AND(U28&gt;=Assumptions!$C$5,NOT(AND(Assumptions!$C$8="Y",T28&lt;=MATCH(Assumptions!$C$9,Assumptions!$B$23:$B$40,0))))),2,1)))</f>
        <v/>
      </c>
      <c r="W28" s="32" t="str">
        <f aca="false">IF($A28="","",IF(O28="",V28,O28))</f>
        <v/>
      </c>
      <c r="X28" s="34" t="str">
        <f aca="false">IF($A28="","",INDEX(Assumptions!$D$23:$D$40,T28))</f>
        <v/>
      </c>
      <c r="Y28" s="35" t="str">
        <f aca="false">IF($A28="","",IF(P28="",INDEX(Assumptions!$C$45:$C$51,MATCH(D28,Assumptions!$B$45:$B$51,0)),P28))</f>
        <v/>
      </c>
      <c r="Z28" s="36" t="str">
        <f aca="false">IF($A28="","",ECL_Calc!AA28)</f>
        <v/>
      </c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5"/>
      <c r="G29" s="25"/>
      <c r="H29" s="26"/>
      <c r="I29" s="27"/>
      <c r="J29" s="24"/>
      <c r="K29" s="24"/>
      <c r="L29" s="28"/>
      <c r="M29" s="24"/>
      <c r="N29" s="24"/>
      <c r="O29" s="28"/>
      <c r="P29" s="29"/>
      <c r="Q29" s="30" t="str">
        <f aca="false">IF($A29="","",F29+G29)</f>
        <v/>
      </c>
      <c r="R29" s="31" t="str">
        <f aca="false">IF($A29="","",MAX(0,(I29-Assumptions!$C$3)/Assumptions!$C$11))</f>
        <v/>
      </c>
      <c r="S29" s="32" t="str">
        <f aca="false">IF($A29="","",MATCH(J29,Assumptions!$B$23:$B$40,0))</f>
        <v/>
      </c>
      <c r="T29" s="32" t="str">
        <f aca="false">IF($A29="","",MATCH(K29,Assumptions!$B$23:$B$40,0))</f>
        <v/>
      </c>
      <c r="U29" s="33" t="str">
        <f aca="false">IF($A29="","",T29-S29)</f>
        <v/>
      </c>
      <c r="V29" s="32" t="str">
        <f aca="false">IF($A29="","",IF(OR(L29&gt;Assumptions!$C$7,K29="D",N29="Y"),3,IF(OR(L29&gt;Assumptions!$C$6,M29="Y",AND(U29&gt;=Assumptions!$C$5,NOT(AND(Assumptions!$C$8="Y",T29&lt;=MATCH(Assumptions!$C$9,Assumptions!$B$23:$B$40,0))))),2,1)))</f>
        <v/>
      </c>
      <c r="W29" s="32" t="str">
        <f aca="false">IF($A29="","",IF(O29="",V29,O29))</f>
        <v/>
      </c>
      <c r="X29" s="34" t="str">
        <f aca="false">IF($A29="","",INDEX(Assumptions!$D$23:$D$40,T29))</f>
        <v/>
      </c>
      <c r="Y29" s="35" t="str">
        <f aca="false">IF($A29="","",IF(P29="",INDEX(Assumptions!$C$45:$C$51,MATCH(D29,Assumptions!$B$45:$B$51,0)),P29))</f>
        <v/>
      </c>
      <c r="Z29" s="36" t="str">
        <f aca="false">IF($A29="","",ECL_Calc!AA29)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5"/>
      <c r="G30" s="25"/>
      <c r="H30" s="26"/>
      <c r="I30" s="27"/>
      <c r="J30" s="24"/>
      <c r="K30" s="24"/>
      <c r="L30" s="28"/>
      <c r="M30" s="24"/>
      <c r="N30" s="24"/>
      <c r="O30" s="28"/>
      <c r="P30" s="29"/>
      <c r="Q30" s="30" t="str">
        <f aca="false">IF($A30="","",F30+G30)</f>
        <v/>
      </c>
      <c r="R30" s="31" t="str">
        <f aca="false">IF($A30="","",MAX(0,(I30-Assumptions!$C$3)/Assumptions!$C$11))</f>
        <v/>
      </c>
      <c r="S30" s="32" t="str">
        <f aca="false">IF($A30="","",MATCH(J30,Assumptions!$B$23:$B$40,0))</f>
        <v/>
      </c>
      <c r="T30" s="32" t="str">
        <f aca="false">IF($A30="","",MATCH(K30,Assumptions!$B$23:$B$40,0))</f>
        <v/>
      </c>
      <c r="U30" s="33" t="str">
        <f aca="false">IF($A30="","",T30-S30)</f>
        <v/>
      </c>
      <c r="V30" s="32" t="str">
        <f aca="false">IF($A30="","",IF(OR(L30&gt;Assumptions!$C$7,K30="D",N30="Y"),3,IF(OR(L30&gt;Assumptions!$C$6,M30="Y",AND(U30&gt;=Assumptions!$C$5,NOT(AND(Assumptions!$C$8="Y",T30&lt;=MATCH(Assumptions!$C$9,Assumptions!$B$23:$B$40,0))))),2,1)))</f>
        <v/>
      </c>
      <c r="W30" s="32" t="str">
        <f aca="false">IF($A30="","",IF(O30="",V30,O30))</f>
        <v/>
      </c>
      <c r="X30" s="34" t="str">
        <f aca="false">IF($A30="","",INDEX(Assumptions!$D$23:$D$40,T30))</f>
        <v/>
      </c>
      <c r="Y30" s="35" t="str">
        <f aca="false">IF($A30="","",IF(P30="",INDEX(Assumptions!$C$45:$C$51,MATCH(D30,Assumptions!$B$45:$B$51,0)),P30))</f>
        <v/>
      </c>
      <c r="Z30" s="36" t="str">
        <f aca="false">IF($A30="","",ECL_Calc!AA30)</f>
        <v/>
      </c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5"/>
      <c r="G31" s="25"/>
      <c r="H31" s="26"/>
      <c r="I31" s="27"/>
      <c r="J31" s="24"/>
      <c r="K31" s="24"/>
      <c r="L31" s="28"/>
      <c r="M31" s="24"/>
      <c r="N31" s="24"/>
      <c r="O31" s="28"/>
      <c r="P31" s="29"/>
      <c r="Q31" s="30" t="str">
        <f aca="false">IF($A31="","",F31+G31)</f>
        <v/>
      </c>
      <c r="R31" s="31" t="str">
        <f aca="false">IF($A31="","",MAX(0,(I31-Assumptions!$C$3)/Assumptions!$C$11))</f>
        <v/>
      </c>
      <c r="S31" s="32" t="str">
        <f aca="false">IF($A31="","",MATCH(J31,Assumptions!$B$23:$B$40,0))</f>
        <v/>
      </c>
      <c r="T31" s="32" t="str">
        <f aca="false">IF($A31="","",MATCH(K31,Assumptions!$B$23:$B$40,0))</f>
        <v/>
      </c>
      <c r="U31" s="33" t="str">
        <f aca="false">IF($A31="","",T31-S31)</f>
        <v/>
      </c>
      <c r="V31" s="32" t="str">
        <f aca="false">IF($A31="","",IF(OR(L31&gt;Assumptions!$C$7,K31="D",N31="Y"),3,IF(OR(L31&gt;Assumptions!$C$6,M31="Y",AND(U31&gt;=Assumptions!$C$5,NOT(AND(Assumptions!$C$8="Y",T31&lt;=MATCH(Assumptions!$C$9,Assumptions!$B$23:$B$40,0))))),2,1)))</f>
        <v/>
      </c>
      <c r="W31" s="32" t="str">
        <f aca="false">IF($A31="","",IF(O31="",V31,O31))</f>
        <v/>
      </c>
      <c r="X31" s="34" t="str">
        <f aca="false">IF($A31="","",INDEX(Assumptions!$D$23:$D$40,T31))</f>
        <v/>
      </c>
      <c r="Y31" s="35" t="str">
        <f aca="false">IF($A31="","",IF(P31="",INDEX(Assumptions!$C$45:$C$51,MATCH(D31,Assumptions!$B$45:$B$51,0)),P31))</f>
        <v/>
      </c>
      <c r="Z31" s="36" t="str">
        <f aca="false">IF($A31="","",ECL_Calc!AA31)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5"/>
      <c r="G32" s="25"/>
      <c r="H32" s="26"/>
      <c r="I32" s="27"/>
      <c r="J32" s="24"/>
      <c r="K32" s="24"/>
      <c r="L32" s="28"/>
      <c r="M32" s="24"/>
      <c r="N32" s="24"/>
      <c r="O32" s="28"/>
      <c r="P32" s="29"/>
      <c r="Q32" s="30" t="str">
        <f aca="false">IF($A32="","",F32+G32)</f>
        <v/>
      </c>
      <c r="R32" s="31" t="str">
        <f aca="false">IF($A32="","",MAX(0,(I32-Assumptions!$C$3)/Assumptions!$C$11))</f>
        <v/>
      </c>
      <c r="S32" s="32" t="str">
        <f aca="false">IF($A32="","",MATCH(J32,Assumptions!$B$23:$B$40,0))</f>
        <v/>
      </c>
      <c r="T32" s="32" t="str">
        <f aca="false">IF($A32="","",MATCH(K32,Assumptions!$B$23:$B$40,0))</f>
        <v/>
      </c>
      <c r="U32" s="33" t="str">
        <f aca="false">IF($A32="","",T32-S32)</f>
        <v/>
      </c>
      <c r="V32" s="32" t="str">
        <f aca="false">IF($A32="","",IF(OR(L32&gt;Assumptions!$C$7,K32="D",N32="Y"),3,IF(OR(L32&gt;Assumptions!$C$6,M32="Y",AND(U32&gt;=Assumptions!$C$5,NOT(AND(Assumptions!$C$8="Y",T32&lt;=MATCH(Assumptions!$C$9,Assumptions!$B$23:$B$40,0))))),2,1)))</f>
        <v/>
      </c>
      <c r="W32" s="32" t="str">
        <f aca="false">IF($A32="","",IF(O32="",V32,O32))</f>
        <v/>
      </c>
      <c r="X32" s="34" t="str">
        <f aca="false">IF($A32="","",INDEX(Assumptions!$D$23:$D$40,T32))</f>
        <v/>
      </c>
      <c r="Y32" s="35" t="str">
        <f aca="false">IF($A32="","",IF(P32="",INDEX(Assumptions!$C$45:$C$51,MATCH(D32,Assumptions!$B$45:$B$51,0)),P32))</f>
        <v/>
      </c>
      <c r="Z32" s="36" t="str">
        <f aca="false">IF($A32="","",ECL_Calc!AA32)</f>
        <v/>
      </c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5"/>
      <c r="G33" s="25"/>
      <c r="H33" s="26"/>
      <c r="I33" s="27"/>
      <c r="J33" s="24"/>
      <c r="K33" s="24"/>
      <c r="L33" s="28"/>
      <c r="M33" s="24"/>
      <c r="N33" s="24"/>
      <c r="O33" s="28"/>
      <c r="P33" s="29"/>
      <c r="Q33" s="30" t="str">
        <f aca="false">IF($A33="","",F33+G33)</f>
        <v/>
      </c>
      <c r="R33" s="31" t="str">
        <f aca="false">IF($A33="","",MAX(0,(I33-Assumptions!$C$3)/Assumptions!$C$11))</f>
        <v/>
      </c>
      <c r="S33" s="32" t="str">
        <f aca="false">IF($A33="","",MATCH(J33,Assumptions!$B$23:$B$40,0))</f>
        <v/>
      </c>
      <c r="T33" s="32" t="str">
        <f aca="false">IF($A33="","",MATCH(K33,Assumptions!$B$23:$B$40,0))</f>
        <v/>
      </c>
      <c r="U33" s="33" t="str">
        <f aca="false">IF($A33="","",T33-S33)</f>
        <v/>
      </c>
      <c r="V33" s="32" t="str">
        <f aca="false">IF($A33="","",IF(OR(L33&gt;Assumptions!$C$7,K33="D",N33="Y"),3,IF(OR(L33&gt;Assumptions!$C$6,M33="Y",AND(U33&gt;=Assumptions!$C$5,NOT(AND(Assumptions!$C$8="Y",T33&lt;=MATCH(Assumptions!$C$9,Assumptions!$B$23:$B$40,0))))),2,1)))</f>
        <v/>
      </c>
      <c r="W33" s="32" t="str">
        <f aca="false">IF($A33="","",IF(O33="",V33,O33))</f>
        <v/>
      </c>
      <c r="X33" s="34" t="str">
        <f aca="false">IF($A33="","",INDEX(Assumptions!$D$23:$D$40,T33))</f>
        <v/>
      </c>
      <c r="Y33" s="35" t="str">
        <f aca="false">IF($A33="","",IF(P33="",INDEX(Assumptions!$C$45:$C$51,MATCH(D33,Assumptions!$B$45:$B$51,0)),P33))</f>
        <v/>
      </c>
      <c r="Z33" s="36" t="str">
        <f aca="false">IF($A33="","",ECL_Calc!AA33)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5"/>
      <c r="G34" s="25"/>
      <c r="H34" s="26"/>
      <c r="I34" s="27"/>
      <c r="J34" s="24"/>
      <c r="K34" s="24"/>
      <c r="L34" s="28"/>
      <c r="M34" s="24"/>
      <c r="N34" s="24"/>
      <c r="O34" s="28"/>
      <c r="P34" s="29"/>
      <c r="Q34" s="30" t="str">
        <f aca="false">IF($A34="","",F34+G34)</f>
        <v/>
      </c>
      <c r="R34" s="31" t="str">
        <f aca="false">IF($A34="","",MAX(0,(I34-Assumptions!$C$3)/Assumptions!$C$11))</f>
        <v/>
      </c>
      <c r="S34" s="32" t="str">
        <f aca="false">IF($A34="","",MATCH(J34,Assumptions!$B$23:$B$40,0))</f>
        <v/>
      </c>
      <c r="T34" s="32" t="str">
        <f aca="false">IF($A34="","",MATCH(K34,Assumptions!$B$23:$B$40,0))</f>
        <v/>
      </c>
      <c r="U34" s="33" t="str">
        <f aca="false">IF($A34="","",T34-S34)</f>
        <v/>
      </c>
      <c r="V34" s="32" t="str">
        <f aca="false">IF($A34="","",IF(OR(L34&gt;Assumptions!$C$7,K34="D",N34="Y"),3,IF(OR(L34&gt;Assumptions!$C$6,M34="Y",AND(U34&gt;=Assumptions!$C$5,NOT(AND(Assumptions!$C$8="Y",T34&lt;=MATCH(Assumptions!$C$9,Assumptions!$B$23:$B$40,0))))),2,1)))</f>
        <v/>
      </c>
      <c r="W34" s="32" t="str">
        <f aca="false">IF($A34="","",IF(O34="",V34,O34))</f>
        <v/>
      </c>
      <c r="X34" s="34" t="str">
        <f aca="false">IF($A34="","",INDEX(Assumptions!$D$23:$D$40,T34))</f>
        <v/>
      </c>
      <c r="Y34" s="35" t="str">
        <f aca="false">IF($A34="","",IF(P34="",INDEX(Assumptions!$C$45:$C$51,MATCH(D34,Assumptions!$B$45:$B$51,0)),P34))</f>
        <v/>
      </c>
      <c r="Z34" s="36" t="str">
        <f aca="false">IF($A34="","",ECL_Calc!AA34)</f>
        <v/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5"/>
      <c r="G35" s="25"/>
      <c r="H35" s="26"/>
      <c r="I35" s="27"/>
      <c r="J35" s="24"/>
      <c r="K35" s="24"/>
      <c r="L35" s="28"/>
      <c r="M35" s="24"/>
      <c r="N35" s="24"/>
      <c r="O35" s="28"/>
      <c r="P35" s="29"/>
      <c r="Q35" s="30" t="str">
        <f aca="false">IF($A35="","",F35+G35)</f>
        <v/>
      </c>
      <c r="R35" s="31" t="str">
        <f aca="false">IF($A35="","",MAX(0,(I35-Assumptions!$C$3)/Assumptions!$C$11))</f>
        <v/>
      </c>
      <c r="S35" s="32" t="str">
        <f aca="false">IF($A35="","",MATCH(J35,Assumptions!$B$23:$B$40,0))</f>
        <v/>
      </c>
      <c r="T35" s="32" t="str">
        <f aca="false">IF($A35="","",MATCH(K35,Assumptions!$B$23:$B$40,0))</f>
        <v/>
      </c>
      <c r="U35" s="33" t="str">
        <f aca="false">IF($A35="","",T35-S35)</f>
        <v/>
      </c>
      <c r="V35" s="32" t="str">
        <f aca="false">IF($A35="","",IF(OR(L35&gt;Assumptions!$C$7,K35="D",N35="Y"),3,IF(OR(L35&gt;Assumptions!$C$6,M35="Y",AND(U35&gt;=Assumptions!$C$5,NOT(AND(Assumptions!$C$8="Y",T35&lt;=MATCH(Assumptions!$C$9,Assumptions!$B$23:$B$40,0))))),2,1)))</f>
        <v/>
      </c>
      <c r="W35" s="32" t="str">
        <f aca="false">IF($A35="","",IF(O35="",V35,O35))</f>
        <v/>
      </c>
      <c r="X35" s="34" t="str">
        <f aca="false">IF($A35="","",INDEX(Assumptions!$D$23:$D$40,T35))</f>
        <v/>
      </c>
      <c r="Y35" s="35" t="str">
        <f aca="false">IF($A35="","",IF(P35="",INDEX(Assumptions!$C$45:$C$51,MATCH(D35,Assumptions!$B$45:$B$51,0)),P35))</f>
        <v/>
      </c>
      <c r="Z35" s="36" t="str">
        <f aca="false">IF($A35="","",ECL_Calc!AA35)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5"/>
      <c r="G36" s="25"/>
      <c r="H36" s="26"/>
      <c r="I36" s="27"/>
      <c r="J36" s="24"/>
      <c r="K36" s="24"/>
      <c r="L36" s="28"/>
      <c r="M36" s="24"/>
      <c r="N36" s="24"/>
      <c r="O36" s="28"/>
      <c r="P36" s="29"/>
      <c r="Q36" s="30" t="str">
        <f aca="false">IF($A36="","",F36+G36)</f>
        <v/>
      </c>
      <c r="R36" s="31" t="str">
        <f aca="false">IF($A36="","",MAX(0,(I36-Assumptions!$C$3)/Assumptions!$C$11))</f>
        <v/>
      </c>
      <c r="S36" s="32" t="str">
        <f aca="false">IF($A36="","",MATCH(J36,Assumptions!$B$23:$B$40,0))</f>
        <v/>
      </c>
      <c r="T36" s="32" t="str">
        <f aca="false">IF($A36="","",MATCH(K36,Assumptions!$B$23:$B$40,0))</f>
        <v/>
      </c>
      <c r="U36" s="33" t="str">
        <f aca="false">IF($A36="","",T36-S36)</f>
        <v/>
      </c>
      <c r="V36" s="32" t="str">
        <f aca="false">IF($A36="","",IF(OR(L36&gt;Assumptions!$C$7,K36="D",N36="Y"),3,IF(OR(L36&gt;Assumptions!$C$6,M36="Y",AND(U36&gt;=Assumptions!$C$5,NOT(AND(Assumptions!$C$8="Y",T36&lt;=MATCH(Assumptions!$C$9,Assumptions!$B$23:$B$40,0))))),2,1)))</f>
        <v/>
      </c>
      <c r="W36" s="32" t="str">
        <f aca="false">IF($A36="","",IF(O36="",V36,O36))</f>
        <v/>
      </c>
      <c r="X36" s="34" t="str">
        <f aca="false">IF($A36="","",INDEX(Assumptions!$D$23:$D$40,T36))</f>
        <v/>
      </c>
      <c r="Y36" s="35" t="str">
        <f aca="false">IF($A36="","",IF(P36="",INDEX(Assumptions!$C$45:$C$51,MATCH(D36,Assumptions!$B$45:$B$51,0)),P36))</f>
        <v/>
      </c>
      <c r="Z36" s="36" t="str">
        <f aca="false">IF($A36="","",ECL_Calc!AA36)</f>
        <v/>
      </c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5"/>
      <c r="G37" s="25"/>
      <c r="H37" s="26"/>
      <c r="I37" s="27"/>
      <c r="J37" s="24"/>
      <c r="K37" s="24"/>
      <c r="L37" s="28"/>
      <c r="M37" s="24"/>
      <c r="N37" s="24"/>
      <c r="O37" s="28"/>
      <c r="P37" s="29"/>
      <c r="Q37" s="30" t="str">
        <f aca="false">IF($A37="","",F37+G37)</f>
        <v/>
      </c>
      <c r="R37" s="31" t="str">
        <f aca="false">IF($A37="","",MAX(0,(I37-Assumptions!$C$3)/Assumptions!$C$11))</f>
        <v/>
      </c>
      <c r="S37" s="32" t="str">
        <f aca="false">IF($A37="","",MATCH(J37,Assumptions!$B$23:$B$40,0))</f>
        <v/>
      </c>
      <c r="T37" s="32" t="str">
        <f aca="false">IF($A37="","",MATCH(K37,Assumptions!$B$23:$B$40,0))</f>
        <v/>
      </c>
      <c r="U37" s="33" t="str">
        <f aca="false">IF($A37="","",T37-S37)</f>
        <v/>
      </c>
      <c r="V37" s="32" t="str">
        <f aca="false">IF($A37="","",IF(OR(L37&gt;Assumptions!$C$7,K37="D",N37="Y"),3,IF(OR(L37&gt;Assumptions!$C$6,M37="Y",AND(U37&gt;=Assumptions!$C$5,NOT(AND(Assumptions!$C$8="Y",T37&lt;=MATCH(Assumptions!$C$9,Assumptions!$B$23:$B$40,0))))),2,1)))</f>
        <v/>
      </c>
      <c r="W37" s="32" t="str">
        <f aca="false">IF($A37="","",IF(O37="",V37,O37))</f>
        <v/>
      </c>
      <c r="X37" s="34" t="str">
        <f aca="false">IF($A37="","",INDEX(Assumptions!$D$23:$D$40,T37))</f>
        <v/>
      </c>
      <c r="Y37" s="35" t="str">
        <f aca="false">IF($A37="","",IF(P37="",INDEX(Assumptions!$C$45:$C$51,MATCH(D37,Assumptions!$B$45:$B$51,0)),P37))</f>
        <v/>
      </c>
      <c r="Z37" s="36" t="str">
        <f aca="false">IF($A37="","",ECL_Calc!AA37)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5"/>
      <c r="G38" s="25"/>
      <c r="H38" s="26"/>
      <c r="I38" s="27"/>
      <c r="J38" s="24"/>
      <c r="K38" s="24"/>
      <c r="L38" s="28"/>
      <c r="M38" s="24"/>
      <c r="N38" s="24"/>
      <c r="O38" s="28"/>
      <c r="P38" s="29"/>
      <c r="Q38" s="30" t="str">
        <f aca="false">IF($A38="","",F38+G38)</f>
        <v/>
      </c>
      <c r="R38" s="31" t="str">
        <f aca="false">IF($A38="","",MAX(0,(I38-Assumptions!$C$3)/Assumptions!$C$11))</f>
        <v/>
      </c>
      <c r="S38" s="32" t="str">
        <f aca="false">IF($A38="","",MATCH(J38,Assumptions!$B$23:$B$40,0))</f>
        <v/>
      </c>
      <c r="T38" s="32" t="str">
        <f aca="false">IF($A38="","",MATCH(K38,Assumptions!$B$23:$B$40,0))</f>
        <v/>
      </c>
      <c r="U38" s="33" t="str">
        <f aca="false">IF($A38="","",T38-S38)</f>
        <v/>
      </c>
      <c r="V38" s="32" t="str">
        <f aca="false">IF($A38="","",IF(OR(L38&gt;Assumptions!$C$7,K38="D",N38="Y"),3,IF(OR(L38&gt;Assumptions!$C$6,M38="Y",AND(U38&gt;=Assumptions!$C$5,NOT(AND(Assumptions!$C$8="Y",T38&lt;=MATCH(Assumptions!$C$9,Assumptions!$B$23:$B$40,0))))),2,1)))</f>
        <v/>
      </c>
      <c r="W38" s="32" t="str">
        <f aca="false">IF($A38="","",IF(O38="",V38,O38))</f>
        <v/>
      </c>
      <c r="X38" s="34" t="str">
        <f aca="false">IF($A38="","",INDEX(Assumptions!$D$23:$D$40,T38))</f>
        <v/>
      </c>
      <c r="Y38" s="35" t="str">
        <f aca="false">IF($A38="","",IF(P38="",INDEX(Assumptions!$C$45:$C$51,MATCH(D38,Assumptions!$B$45:$B$51,0)),P38))</f>
        <v/>
      </c>
      <c r="Z38" s="36" t="str">
        <f aca="false">IF($A38="","",ECL_Calc!AA38)</f>
        <v/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5"/>
      <c r="G39" s="25"/>
      <c r="H39" s="26"/>
      <c r="I39" s="27"/>
      <c r="J39" s="24"/>
      <c r="K39" s="24"/>
      <c r="L39" s="28"/>
      <c r="M39" s="24"/>
      <c r="N39" s="24"/>
      <c r="O39" s="28"/>
      <c r="P39" s="29"/>
      <c r="Q39" s="30" t="str">
        <f aca="false">IF($A39="","",F39+G39)</f>
        <v/>
      </c>
      <c r="R39" s="31" t="str">
        <f aca="false">IF($A39="","",MAX(0,(I39-Assumptions!$C$3)/Assumptions!$C$11))</f>
        <v/>
      </c>
      <c r="S39" s="32" t="str">
        <f aca="false">IF($A39="","",MATCH(J39,Assumptions!$B$23:$B$40,0))</f>
        <v/>
      </c>
      <c r="T39" s="32" t="str">
        <f aca="false">IF($A39="","",MATCH(K39,Assumptions!$B$23:$B$40,0))</f>
        <v/>
      </c>
      <c r="U39" s="33" t="str">
        <f aca="false">IF($A39="","",T39-S39)</f>
        <v/>
      </c>
      <c r="V39" s="32" t="str">
        <f aca="false">IF($A39="","",IF(OR(L39&gt;Assumptions!$C$7,K39="D",N39="Y"),3,IF(OR(L39&gt;Assumptions!$C$6,M39="Y",AND(U39&gt;=Assumptions!$C$5,NOT(AND(Assumptions!$C$8="Y",T39&lt;=MATCH(Assumptions!$C$9,Assumptions!$B$23:$B$40,0))))),2,1)))</f>
        <v/>
      </c>
      <c r="W39" s="32" t="str">
        <f aca="false">IF($A39="","",IF(O39="",V39,O39))</f>
        <v/>
      </c>
      <c r="X39" s="34" t="str">
        <f aca="false">IF($A39="","",INDEX(Assumptions!$D$23:$D$40,T39))</f>
        <v/>
      </c>
      <c r="Y39" s="35" t="str">
        <f aca="false">IF($A39="","",IF(P39="",INDEX(Assumptions!$C$45:$C$51,MATCH(D39,Assumptions!$B$45:$B$51,0)),P39))</f>
        <v/>
      </c>
      <c r="Z39" s="36" t="str">
        <f aca="false">IF($A39="","",ECL_Calc!AA39)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5"/>
      <c r="G40" s="25"/>
      <c r="H40" s="26"/>
      <c r="I40" s="27"/>
      <c r="J40" s="24"/>
      <c r="K40" s="24"/>
      <c r="L40" s="28"/>
      <c r="M40" s="24"/>
      <c r="N40" s="24"/>
      <c r="O40" s="28"/>
      <c r="P40" s="29"/>
      <c r="Q40" s="30" t="str">
        <f aca="false">IF($A40="","",F40+G40)</f>
        <v/>
      </c>
      <c r="R40" s="31" t="str">
        <f aca="false">IF($A40="","",MAX(0,(I40-Assumptions!$C$3)/Assumptions!$C$11))</f>
        <v/>
      </c>
      <c r="S40" s="32" t="str">
        <f aca="false">IF($A40="","",MATCH(J40,Assumptions!$B$23:$B$40,0))</f>
        <v/>
      </c>
      <c r="T40" s="32" t="str">
        <f aca="false">IF($A40="","",MATCH(K40,Assumptions!$B$23:$B$40,0))</f>
        <v/>
      </c>
      <c r="U40" s="33" t="str">
        <f aca="false">IF($A40="","",T40-S40)</f>
        <v/>
      </c>
      <c r="V40" s="32" t="str">
        <f aca="false">IF($A40="","",IF(OR(L40&gt;Assumptions!$C$7,K40="D",N40="Y"),3,IF(OR(L40&gt;Assumptions!$C$6,M40="Y",AND(U40&gt;=Assumptions!$C$5,NOT(AND(Assumptions!$C$8="Y",T40&lt;=MATCH(Assumptions!$C$9,Assumptions!$B$23:$B$40,0))))),2,1)))</f>
        <v/>
      </c>
      <c r="W40" s="32" t="str">
        <f aca="false">IF($A40="","",IF(O40="",V40,O40))</f>
        <v/>
      </c>
      <c r="X40" s="34" t="str">
        <f aca="false">IF($A40="","",INDEX(Assumptions!$D$23:$D$40,T40))</f>
        <v/>
      </c>
      <c r="Y40" s="35" t="str">
        <f aca="false">IF($A40="","",IF(P40="",INDEX(Assumptions!$C$45:$C$51,MATCH(D40,Assumptions!$B$45:$B$51,0)),P40))</f>
        <v/>
      </c>
      <c r="Z40" s="36" t="str">
        <f aca="false">IF($A40="","",ECL_Calc!AA40)</f>
        <v/>
      </c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5"/>
      <c r="G41" s="25"/>
      <c r="H41" s="26"/>
      <c r="I41" s="27"/>
      <c r="J41" s="24"/>
      <c r="K41" s="24"/>
      <c r="L41" s="28"/>
      <c r="M41" s="24"/>
      <c r="N41" s="24"/>
      <c r="O41" s="28"/>
      <c r="P41" s="29"/>
      <c r="Q41" s="30" t="str">
        <f aca="false">IF($A41="","",F41+G41)</f>
        <v/>
      </c>
      <c r="R41" s="31" t="str">
        <f aca="false">IF($A41="","",MAX(0,(I41-Assumptions!$C$3)/Assumptions!$C$11))</f>
        <v/>
      </c>
      <c r="S41" s="32" t="str">
        <f aca="false">IF($A41="","",MATCH(J41,Assumptions!$B$23:$B$40,0))</f>
        <v/>
      </c>
      <c r="T41" s="32" t="str">
        <f aca="false">IF($A41="","",MATCH(K41,Assumptions!$B$23:$B$40,0))</f>
        <v/>
      </c>
      <c r="U41" s="33" t="str">
        <f aca="false">IF($A41="","",T41-S41)</f>
        <v/>
      </c>
      <c r="V41" s="32" t="str">
        <f aca="false">IF($A41="","",IF(OR(L41&gt;Assumptions!$C$7,K41="D",N41="Y"),3,IF(OR(L41&gt;Assumptions!$C$6,M41="Y",AND(U41&gt;=Assumptions!$C$5,NOT(AND(Assumptions!$C$8="Y",T41&lt;=MATCH(Assumptions!$C$9,Assumptions!$B$23:$B$40,0))))),2,1)))</f>
        <v/>
      </c>
      <c r="W41" s="32" t="str">
        <f aca="false">IF($A41="","",IF(O41="",V41,O41))</f>
        <v/>
      </c>
      <c r="X41" s="34" t="str">
        <f aca="false">IF($A41="","",INDEX(Assumptions!$D$23:$D$40,T41))</f>
        <v/>
      </c>
      <c r="Y41" s="35" t="str">
        <f aca="false">IF($A41="","",IF(P41="",INDEX(Assumptions!$C$45:$C$51,MATCH(D41,Assumptions!$B$45:$B$51,0)),P41))</f>
        <v/>
      </c>
      <c r="Z41" s="36" t="str">
        <f aca="false">IF($A41="","",ECL_Calc!AA41)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5"/>
      <c r="G42" s="25"/>
      <c r="H42" s="26"/>
      <c r="I42" s="27"/>
      <c r="J42" s="24"/>
      <c r="K42" s="24"/>
      <c r="L42" s="28"/>
      <c r="M42" s="24"/>
      <c r="N42" s="24"/>
      <c r="O42" s="28"/>
      <c r="P42" s="29"/>
      <c r="Q42" s="30" t="str">
        <f aca="false">IF($A42="","",F42+G42)</f>
        <v/>
      </c>
      <c r="R42" s="31" t="str">
        <f aca="false">IF($A42="","",MAX(0,(I42-Assumptions!$C$3)/Assumptions!$C$11))</f>
        <v/>
      </c>
      <c r="S42" s="32" t="str">
        <f aca="false">IF($A42="","",MATCH(J42,Assumptions!$B$23:$B$40,0))</f>
        <v/>
      </c>
      <c r="T42" s="32" t="str">
        <f aca="false">IF($A42="","",MATCH(K42,Assumptions!$B$23:$B$40,0))</f>
        <v/>
      </c>
      <c r="U42" s="33" t="str">
        <f aca="false">IF($A42="","",T42-S42)</f>
        <v/>
      </c>
      <c r="V42" s="32" t="str">
        <f aca="false">IF($A42="","",IF(OR(L42&gt;Assumptions!$C$7,K42="D",N42="Y"),3,IF(OR(L42&gt;Assumptions!$C$6,M42="Y",AND(U42&gt;=Assumptions!$C$5,NOT(AND(Assumptions!$C$8="Y",T42&lt;=MATCH(Assumptions!$C$9,Assumptions!$B$23:$B$40,0))))),2,1)))</f>
        <v/>
      </c>
      <c r="W42" s="32" t="str">
        <f aca="false">IF($A42="","",IF(O42="",V42,O42))</f>
        <v/>
      </c>
      <c r="X42" s="34" t="str">
        <f aca="false">IF($A42="","",INDEX(Assumptions!$D$23:$D$40,T42))</f>
        <v/>
      </c>
      <c r="Y42" s="35" t="str">
        <f aca="false">IF($A42="","",IF(P42="",INDEX(Assumptions!$C$45:$C$51,MATCH(D42,Assumptions!$B$45:$B$51,0)),P42))</f>
        <v/>
      </c>
      <c r="Z42" s="36" t="str">
        <f aca="false">IF($A42="","",ECL_Calc!AA42)</f>
        <v/>
      </c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5"/>
      <c r="G43" s="25"/>
      <c r="H43" s="26"/>
      <c r="I43" s="27"/>
      <c r="J43" s="24"/>
      <c r="K43" s="24"/>
      <c r="L43" s="28"/>
      <c r="M43" s="24"/>
      <c r="N43" s="24"/>
      <c r="O43" s="28"/>
      <c r="P43" s="29"/>
      <c r="Q43" s="30" t="str">
        <f aca="false">IF($A43="","",F43+G43)</f>
        <v/>
      </c>
      <c r="R43" s="31" t="str">
        <f aca="false">IF($A43="","",MAX(0,(I43-Assumptions!$C$3)/Assumptions!$C$11))</f>
        <v/>
      </c>
      <c r="S43" s="32" t="str">
        <f aca="false">IF($A43="","",MATCH(J43,Assumptions!$B$23:$B$40,0))</f>
        <v/>
      </c>
      <c r="T43" s="32" t="str">
        <f aca="false">IF($A43="","",MATCH(K43,Assumptions!$B$23:$B$40,0))</f>
        <v/>
      </c>
      <c r="U43" s="33" t="str">
        <f aca="false">IF($A43="","",T43-S43)</f>
        <v/>
      </c>
      <c r="V43" s="32" t="str">
        <f aca="false">IF($A43="","",IF(OR(L43&gt;Assumptions!$C$7,K43="D",N43="Y"),3,IF(OR(L43&gt;Assumptions!$C$6,M43="Y",AND(U43&gt;=Assumptions!$C$5,NOT(AND(Assumptions!$C$8="Y",T43&lt;=MATCH(Assumptions!$C$9,Assumptions!$B$23:$B$40,0))))),2,1)))</f>
        <v/>
      </c>
      <c r="W43" s="32" t="str">
        <f aca="false">IF($A43="","",IF(O43="",V43,O43))</f>
        <v/>
      </c>
      <c r="X43" s="34" t="str">
        <f aca="false">IF($A43="","",INDEX(Assumptions!$D$23:$D$40,T43))</f>
        <v/>
      </c>
      <c r="Y43" s="35" t="str">
        <f aca="false">IF($A43="","",IF(P43="",INDEX(Assumptions!$C$45:$C$51,MATCH(D43,Assumptions!$B$45:$B$51,0)),P43))</f>
        <v/>
      </c>
      <c r="Z43" s="36" t="str">
        <f aca="false">IF($A43="","",ECL_Calc!AA43)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5"/>
      <c r="G44" s="25"/>
      <c r="H44" s="26"/>
      <c r="I44" s="27"/>
      <c r="J44" s="24"/>
      <c r="K44" s="24"/>
      <c r="L44" s="28"/>
      <c r="M44" s="24"/>
      <c r="N44" s="24"/>
      <c r="O44" s="28"/>
      <c r="P44" s="29"/>
      <c r="Q44" s="30" t="str">
        <f aca="false">IF($A44="","",F44+G44)</f>
        <v/>
      </c>
      <c r="R44" s="31" t="str">
        <f aca="false">IF($A44="","",MAX(0,(I44-Assumptions!$C$3)/Assumptions!$C$11))</f>
        <v/>
      </c>
      <c r="S44" s="32" t="str">
        <f aca="false">IF($A44="","",MATCH(J44,Assumptions!$B$23:$B$40,0))</f>
        <v/>
      </c>
      <c r="T44" s="32" t="str">
        <f aca="false">IF($A44="","",MATCH(K44,Assumptions!$B$23:$B$40,0))</f>
        <v/>
      </c>
      <c r="U44" s="33" t="str">
        <f aca="false">IF($A44="","",T44-S44)</f>
        <v/>
      </c>
      <c r="V44" s="32" t="str">
        <f aca="false">IF($A44="","",IF(OR(L44&gt;Assumptions!$C$7,K44="D",N44="Y"),3,IF(OR(L44&gt;Assumptions!$C$6,M44="Y",AND(U44&gt;=Assumptions!$C$5,NOT(AND(Assumptions!$C$8="Y",T44&lt;=MATCH(Assumptions!$C$9,Assumptions!$B$23:$B$40,0))))),2,1)))</f>
        <v/>
      </c>
      <c r="W44" s="32" t="str">
        <f aca="false">IF($A44="","",IF(O44="",V44,O44))</f>
        <v/>
      </c>
      <c r="X44" s="34" t="str">
        <f aca="false">IF($A44="","",INDEX(Assumptions!$D$23:$D$40,T44))</f>
        <v/>
      </c>
      <c r="Y44" s="35" t="str">
        <f aca="false">IF($A44="","",IF(P44="",INDEX(Assumptions!$C$45:$C$51,MATCH(D44,Assumptions!$B$45:$B$51,0)),P44))</f>
        <v/>
      </c>
      <c r="Z44" s="36" t="str">
        <f aca="false">IF($A44="","",ECL_Calc!AA44)</f>
        <v/>
      </c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5"/>
      <c r="G45" s="25"/>
      <c r="H45" s="26"/>
      <c r="I45" s="27"/>
      <c r="J45" s="24"/>
      <c r="K45" s="24"/>
      <c r="L45" s="28"/>
      <c r="M45" s="24"/>
      <c r="N45" s="24"/>
      <c r="O45" s="28"/>
      <c r="P45" s="29"/>
      <c r="Q45" s="30" t="str">
        <f aca="false">IF($A45="","",F45+G45)</f>
        <v/>
      </c>
      <c r="R45" s="31" t="str">
        <f aca="false">IF($A45="","",MAX(0,(I45-Assumptions!$C$3)/Assumptions!$C$11))</f>
        <v/>
      </c>
      <c r="S45" s="32" t="str">
        <f aca="false">IF($A45="","",MATCH(J45,Assumptions!$B$23:$B$40,0))</f>
        <v/>
      </c>
      <c r="T45" s="32" t="str">
        <f aca="false">IF($A45="","",MATCH(K45,Assumptions!$B$23:$B$40,0))</f>
        <v/>
      </c>
      <c r="U45" s="33" t="str">
        <f aca="false">IF($A45="","",T45-S45)</f>
        <v/>
      </c>
      <c r="V45" s="32" t="str">
        <f aca="false">IF($A45="","",IF(OR(L45&gt;Assumptions!$C$7,K45="D",N45="Y"),3,IF(OR(L45&gt;Assumptions!$C$6,M45="Y",AND(U45&gt;=Assumptions!$C$5,NOT(AND(Assumptions!$C$8="Y",T45&lt;=MATCH(Assumptions!$C$9,Assumptions!$B$23:$B$40,0))))),2,1)))</f>
        <v/>
      </c>
      <c r="W45" s="32" t="str">
        <f aca="false">IF($A45="","",IF(O45="",V45,O45))</f>
        <v/>
      </c>
      <c r="X45" s="34" t="str">
        <f aca="false">IF($A45="","",INDEX(Assumptions!$D$23:$D$40,T45))</f>
        <v/>
      </c>
      <c r="Y45" s="35" t="str">
        <f aca="false">IF($A45="","",IF(P45="",INDEX(Assumptions!$C$45:$C$51,MATCH(D45,Assumptions!$B$45:$B$51,0)),P45))</f>
        <v/>
      </c>
      <c r="Z45" s="36" t="str">
        <f aca="false">IF($A45="","",ECL_Calc!AA45)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5"/>
      <c r="G46" s="25"/>
      <c r="H46" s="26"/>
      <c r="I46" s="27"/>
      <c r="J46" s="24"/>
      <c r="K46" s="24"/>
      <c r="L46" s="28"/>
      <c r="M46" s="24"/>
      <c r="N46" s="24"/>
      <c r="O46" s="28"/>
      <c r="P46" s="29"/>
      <c r="Q46" s="30" t="str">
        <f aca="false">IF($A46="","",F46+G46)</f>
        <v/>
      </c>
      <c r="R46" s="31" t="str">
        <f aca="false">IF($A46="","",MAX(0,(I46-Assumptions!$C$3)/Assumptions!$C$11))</f>
        <v/>
      </c>
      <c r="S46" s="32" t="str">
        <f aca="false">IF($A46="","",MATCH(J46,Assumptions!$B$23:$B$40,0))</f>
        <v/>
      </c>
      <c r="T46" s="32" t="str">
        <f aca="false">IF($A46="","",MATCH(K46,Assumptions!$B$23:$B$40,0))</f>
        <v/>
      </c>
      <c r="U46" s="33" t="str">
        <f aca="false">IF($A46="","",T46-S46)</f>
        <v/>
      </c>
      <c r="V46" s="32" t="str">
        <f aca="false">IF($A46="","",IF(OR(L46&gt;Assumptions!$C$7,K46="D",N46="Y"),3,IF(OR(L46&gt;Assumptions!$C$6,M46="Y",AND(U46&gt;=Assumptions!$C$5,NOT(AND(Assumptions!$C$8="Y",T46&lt;=MATCH(Assumptions!$C$9,Assumptions!$B$23:$B$40,0))))),2,1)))</f>
        <v/>
      </c>
      <c r="W46" s="32" t="str">
        <f aca="false">IF($A46="","",IF(O46="",V46,O46))</f>
        <v/>
      </c>
      <c r="X46" s="34" t="str">
        <f aca="false">IF($A46="","",INDEX(Assumptions!$D$23:$D$40,T46))</f>
        <v/>
      </c>
      <c r="Y46" s="35" t="str">
        <f aca="false">IF($A46="","",IF(P46="",INDEX(Assumptions!$C$45:$C$51,MATCH(D46,Assumptions!$B$45:$B$51,0)),P46))</f>
        <v/>
      </c>
      <c r="Z46" s="36" t="str">
        <f aca="false">IF($A46="","",ECL_Calc!AA46)</f>
        <v/>
      </c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5"/>
      <c r="G47" s="25"/>
      <c r="H47" s="26"/>
      <c r="I47" s="27"/>
      <c r="J47" s="24"/>
      <c r="K47" s="24"/>
      <c r="L47" s="28"/>
      <c r="M47" s="24"/>
      <c r="N47" s="24"/>
      <c r="O47" s="28"/>
      <c r="P47" s="29"/>
      <c r="Q47" s="30" t="str">
        <f aca="false">IF($A47="","",F47+G47)</f>
        <v/>
      </c>
      <c r="R47" s="31" t="str">
        <f aca="false">IF($A47="","",MAX(0,(I47-Assumptions!$C$3)/Assumptions!$C$11))</f>
        <v/>
      </c>
      <c r="S47" s="32" t="str">
        <f aca="false">IF($A47="","",MATCH(J47,Assumptions!$B$23:$B$40,0))</f>
        <v/>
      </c>
      <c r="T47" s="32" t="str">
        <f aca="false">IF($A47="","",MATCH(K47,Assumptions!$B$23:$B$40,0))</f>
        <v/>
      </c>
      <c r="U47" s="33" t="str">
        <f aca="false">IF($A47="","",T47-S47)</f>
        <v/>
      </c>
      <c r="V47" s="32" t="str">
        <f aca="false">IF($A47="","",IF(OR(L47&gt;Assumptions!$C$7,K47="D",N47="Y"),3,IF(OR(L47&gt;Assumptions!$C$6,M47="Y",AND(U47&gt;=Assumptions!$C$5,NOT(AND(Assumptions!$C$8="Y",T47&lt;=MATCH(Assumptions!$C$9,Assumptions!$B$23:$B$40,0))))),2,1)))</f>
        <v/>
      </c>
      <c r="W47" s="32" t="str">
        <f aca="false">IF($A47="","",IF(O47="",V47,O47))</f>
        <v/>
      </c>
      <c r="X47" s="34" t="str">
        <f aca="false">IF($A47="","",INDEX(Assumptions!$D$23:$D$40,T47))</f>
        <v/>
      </c>
      <c r="Y47" s="35" t="str">
        <f aca="false">IF($A47="","",IF(P47="",INDEX(Assumptions!$C$45:$C$51,MATCH(D47,Assumptions!$B$45:$B$51,0)),P47))</f>
        <v/>
      </c>
      <c r="Z47" s="36" t="str">
        <f aca="false">IF($A47="","",ECL_Calc!AA47)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5"/>
      <c r="G48" s="25"/>
      <c r="H48" s="26"/>
      <c r="I48" s="27"/>
      <c r="J48" s="24"/>
      <c r="K48" s="24"/>
      <c r="L48" s="28"/>
      <c r="M48" s="24"/>
      <c r="N48" s="24"/>
      <c r="O48" s="28"/>
      <c r="P48" s="29"/>
      <c r="Q48" s="30" t="str">
        <f aca="false">IF($A48="","",F48+G48)</f>
        <v/>
      </c>
      <c r="R48" s="31" t="str">
        <f aca="false">IF($A48="","",MAX(0,(I48-Assumptions!$C$3)/Assumptions!$C$11))</f>
        <v/>
      </c>
      <c r="S48" s="32" t="str">
        <f aca="false">IF($A48="","",MATCH(J48,Assumptions!$B$23:$B$40,0))</f>
        <v/>
      </c>
      <c r="T48" s="32" t="str">
        <f aca="false">IF($A48="","",MATCH(K48,Assumptions!$B$23:$B$40,0))</f>
        <v/>
      </c>
      <c r="U48" s="33" t="str">
        <f aca="false">IF($A48="","",T48-S48)</f>
        <v/>
      </c>
      <c r="V48" s="32" t="str">
        <f aca="false">IF($A48="","",IF(OR(L48&gt;Assumptions!$C$7,K48="D",N48="Y"),3,IF(OR(L48&gt;Assumptions!$C$6,M48="Y",AND(U48&gt;=Assumptions!$C$5,NOT(AND(Assumptions!$C$8="Y",T48&lt;=MATCH(Assumptions!$C$9,Assumptions!$B$23:$B$40,0))))),2,1)))</f>
        <v/>
      </c>
      <c r="W48" s="32" t="str">
        <f aca="false">IF($A48="","",IF(O48="",V48,O48))</f>
        <v/>
      </c>
      <c r="X48" s="34" t="str">
        <f aca="false">IF($A48="","",INDEX(Assumptions!$D$23:$D$40,T48))</f>
        <v/>
      </c>
      <c r="Y48" s="35" t="str">
        <f aca="false">IF($A48="","",IF(P48="",INDEX(Assumptions!$C$45:$C$51,MATCH(D48,Assumptions!$B$45:$B$51,0)),P48))</f>
        <v/>
      </c>
      <c r="Z48" s="36" t="str">
        <f aca="false">IF($A48="","",ECL_Calc!AA48)</f>
        <v/>
      </c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5"/>
      <c r="G49" s="25"/>
      <c r="H49" s="26"/>
      <c r="I49" s="27"/>
      <c r="J49" s="24"/>
      <c r="K49" s="24"/>
      <c r="L49" s="28"/>
      <c r="M49" s="24"/>
      <c r="N49" s="24"/>
      <c r="O49" s="28"/>
      <c r="P49" s="29"/>
      <c r="Q49" s="30" t="str">
        <f aca="false">IF($A49="","",F49+G49)</f>
        <v/>
      </c>
      <c r="R49" s="31" t="str">
        <f aca="false">IF($A49="","",MAX(0,(I49-Assumptions!$C$3)/Assumptions!$C$11))</f>
        <v/>
      </c>
      <c r="S49" s="32" t="str">
        <f aca="false">IF($A49="","",MATCH(J49,Assumptions!$B$23:$B$40,0))</f>
        <v/>
      </c>
      <c r="T49" s="32" t="str">
        <f aca="false">IF($A49="","",MATCH(K49,Assumptions!$B$23:$B$40,0))</f>
        <v/>
      </c>
      <c r="U49" s="33" t="str">
        <f aca="false">IF($A49="","",T49-S49)</f>
        <v/>
      </c>
      <c r="V49" s="32" t="str">
        <f aca="false">IF($A49="","",IF(OR(L49&gt;Assumptions!$C$7,K49="D",N49="Y"),3,IF(OR(L49&gt;Assumptions!$C$6,M49="Y",AND(U49&gt;=Assumptions!$C$5,NOT(AND(Assumptions!$C$8="Y",T49&lt;=MATCH(Assumptions!$C$9,Assumptions!$B$23:$B$40,0))))),2,1)))</f>
        <v/>
      </c>
      <c r="W49" s="32" t="str">
        <f aca="false">IF($A49="","",IF(O49="",V49,O49))</f>
        <v/>
      </c>
      <c r="X49" s="34" t="str">
        <f aca="false">IF($A49="","",INDEX(Assumptions!$D$23:$D$40,T49))</f>
        <v/>
      </c>
      <c r="Y49" s="35" t="str">
        <f aca="false">IF($A49="","",IF(P49="",INDEX(Assumptions!$C$45:$C$51,MATCH(D49,Assumptions!$B$45:$B$51,0)),P49))</f>
        <v/>
      </c>
      <c r="Z49" s="36" t="str">
        <f aca="false">IF($A49="","",ECL_Calc!AA49)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5"/>
      <c r="G50" s="25"/>
      <c r="H50" s="26"/>
      <c r="I50" s="27"/>
      <c r="J50" s="24"/>
      <c r="K50" s="24"/>
      <c r="L50" s="28"/>
      <c r="M50" s="24"/>
      <c r="N50" s="24"/>
      <c r="O50" s="28"/>
      <c r="P50" s="29"/>
      <c r="Q50" s="30" t="str">
        <f aca="false">IF($A50="","",F50+G50)</f>
        <v/>
      </c>
      <c r="R50" s="31" t="str">
        <f aca="false">IF($A50="","",MAX(0,(I50-Assumptions!$C$3)/Assumptions!$C$11))</f>
        <v/>
      </c>
      <c r="S50" s="32" t="str">
        <f aca="false">IF($A50="","",MATCH(J50,Assumptions!$B$23:$B$40,0))</f>
        <v/>
      </c>
      <c r="T50" s="32" t="str">
        <f aca="false">IF($A50="","",MATCH(K50,Assumptions!$B$23:$B$40,0))</f>
        <v/>
      </c>
      <c r="U50" s="33" t="str">
        <f aca="false">IF($A50="","",T50-S50)</f>
        <v/>
      </c>
      <c r="V50" s="32" t="str">
        <f aca="false">IF($A50="","",IF(OR(L50&gt;Assumptions!$C$7,K50="D",N50="Y"),3,IF(OR(L50&gt;Assumptions!$C$6,M50="Y",AND(U50&gt;=Assumptions!$C$5,NOT(AND(Assumptions!$C$8="Y",T50&lt;=MATCH(Assumptions!$C$9,Assumptions!$B$23:$B$40,0))))),2,1)))</f>
        <v/>
      </c>
      <c r="W50" s="32" t="str">
        <f aca="false">IF($A50="","",IF(O50="",V50,O50))</f>
        <v/>
      </c>
      <c r="X50" s="34" t="str">
        <f aca="false">IF($A50="","",INDEX(Assumptions!$D$23:$D$40,T50))</f>
        <v/>
      </c>
      <c r="Y50" s="35" t="str">
        <f aca="false">IF($A50="","",IF(P50="",INDEX(Assumptions!$C$45:$C$51,MATCH(D50,Assumptions!$B$45:$B$51,0)),P50))</f>
        <v/>
      </c>
      <c r="Z50" s="36" t="str">
        <f aca="false">IF($A50="","",ECL_Calc!AA50)</f>
        <v/>
      </c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5"/>
      <c r="G51" s="25"/>
      <c r="H51" s="26"/>
      <c r="I51" s="27"/>
      <c r="J51" s="24"/>
      <c r="K51" s="24"/>
      <c r="L51" s="28"/>
      <c r="M51" s="24"/>
      <c r="N51" s="24"/>
      <c r="O51" s="28"/>
      <c r="P51" s="29"/>
      <c r="Q51" s="30" t="str">
        <f aca="false">IF($A51="","",F51+G51)</f>
        <v/>
      </c>
      <c r="R51" s="31" t="str">
        <f aca="false">IF($A51="","",MAX(0,(I51-Assumptions!$C$3)/Assumptions!$C$11))</f>
        <v/>
      </c>
      <c r="S51" s="32" t="str">
        <f aca="false">IF($A51="","",MATCH(J51,Assumptions!$B$23:$B$40,0))</f>
        <v/>
      </c>
      <c r="T51" s="32" t="str">
        <f aca="false">IF($A51="","",MATCH(K51,Assumptions!$B$23:$B$40,0))</f>
        <v/>
      </c>
      <c r="U51" s="33" t="str">
        <f aca="false">IF($A51="","",T51-S51)</f>
        <v/>
      </c>
      <c r="V51" s="32" t="str">
        <f aca="false">IF($A51="","",IF(OR(L51&gt;Assumptions!$C$7,K51="D",N51="Y"),3,IF(OR(L51&gt;Assumptions!$C$6,M51="Y",AND(U51&gt;=Assumptions!$C$5,NOT(AND(Assumptions!$C$8="Y",T51&lt;=MATCH(Assumptions!$C$9,Assumptions!$B$23:$B$40,0))))),2,1)))</f>
        <v/>
      </c>
      <c r="W51" s="32" t="str">
        <f aca="false">IF($A51="","",IF(O51="",V51,O51))</f>
        <v/>
      </c>
      <c r="X51" s="34" t="str">
        <f aca="false">IF($A51="","",INDEX(Assumptions!$D$23:$D$40,T51))</f>
        <v/>
      </c>
      <c r="Y51" s="35" t="str">
        <f aca="false">IF($A51="","",IF(P51="",INDEX(Assumptions!$C$45:$C$51,MATCH(D51,Assumptions!$B$45:$B$51,0)),P51))</f>
        <v/>
      </c>
      <c r="Z51" s="36" t="str">
        <f aca="false">IF($A51="","",ECL_Calc!AA51)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5"/>
      <c r="G52" s="25"/>
      <c r="H52" s="26"/>
      <c r="I52" s="27"/>
      <c r="J52" s="24"/>
      <c r="K52" s="24"/>
      <c r="L52" s="28"/>
      <c r="M52" s="24"/>
      <c r="N52" s="24"/>
      <c r="O52" s="28"/>
      <c r="P52" s="29"/>
      <c r="Q52" s="30" t="str">
        <f aca="false">IF($A52="","",F52+G52)</f>
        <v/>
      </c>
      <c r="R52" s="31" t="str">
        <f aca="false">IF($A52="","",MAX(0,(I52-Assumptions!$C$3)/Assumptions!$C$11))</f>
        <v/>
      </c>
      <c r="S52" s="32" t="str">
        <f aca="false">IF($A52="","",MATCH(J52,Assumptions!$B$23:$B$40,0))</f>
        <v/>
      </c>
      <c r="T52" s="32" t="str">
        <f aca="false">IF($A52="","",MATCH(K52,Assumptions!$B$23:$B$40,0))</f>
        <v/>
      </c>
      <c r="U52" s="33" t="str">
        <f aca="false">IF($A52="","",T52-S52)</f>
        <v/>
      </c>
      <c r="V52" s="32" t="str">
        <f aca="false">IF($A52="","",IF(OR(L52&gt;Assumptions!$C$7,K52="D",N52="Y"),3,IF(OR(L52&gt;Assumptions!$C$6,M52="Y",AND(U52&gt;=Assumptions!$C$5,NOT(AND(Assumptions!$C$8="Y",T52&lt;=MATCH(Assumptions!$C$9,Assumptions!$B$23:$B$40,0))))),2,1)))</f>
        <v/>
      </c>
      <c r="W52" s="32" t="str">
        <f aca="false">IF($A52="","",IF(O52="",V52,O52))</f>
        <v/>
      </c>
      <c r="X52" s="34" t="str">
        <f aca="false">IF($A52="","",INDEX(Assumptions!$D$23:$D$40,T52))</f>
        <v/>
      </c>
      <c r="Y52" s="35" t="str">
        <f aca="false">IF($A52="","",IF(P52="",INDEX(Assumptions!$C$45:$C$51,MATCH(D52,Assumptions!$B$45:$B$51,0)),P52))</f>
        <v/>
      </c>
      <c r="Z52" s="36" t="str">
        <f aca="false">IF($A52="","",ECL_Calc!AA52)</f>
        <v/>
      </c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5"/>
      <c r="G53" s="25"/>
      <c r="H53" s="26"/>
      <c r="I53" s="27"/>
      <c r="J53" s="24"/>
      <c r="K53" s="24"/>
      <c r="L53" s="28"/>
      <c r="M53" s="24"/>
      <c r="N53" s="24"/>
      <c r="O53" s="28"/>
      <c r="P53" s="29"/>
      <c r="Q53" s="30" t="str">
        <f aca="false">IF($A53="","",F53+G53)</f>
        <v/>
      </c>
      <c r="R53" s="31" t="str">
        <f aca="false">IF($A53="","",MAX(0,(I53-Assumptions!$C$3)/Assumptions!$C$11))</f>
        <v/>
      </c>
      <c r="S53" s="32" t="str">
        <f aca="false">IF($A53="","",MATCH(J53,Assumptions!$B$23:$B$40,0))</f>
        <v/>
      </c>
      <c r="T53" s="32" t="str">
        <f aca="false">IF($A53="","",MATCH(K53,Assumptions!$B$23:$B$40,0))</f>
        <v/>
      </c>
      <c r="U53" s="33" t="str">
        <f aca="false">IF($A53="","",T53-S53)</f>
        <v/>
      </c>
      <c r="V53" s="32" t="str">
        <f aca="false">IF($A53="","",IF(OR(L53&gt;Assumptions!$C$7,K53="D",N53="Y"),3,IF(OR(L53&gt;Assumptions!$C$6,M53="Y",AND(U53&gt;=Assumptions!$C$5,NOT(AND(Assumptions!$C$8="Y",T53&lt;=MATCH(Assumptions!$C$9,Assumptions!$B$23:$B$40,0))))),2,1)))</f>
        <v/>
      </c>
      <c r="W53" s="32" t="str">
        <f aca="false">IF($A53="","",IF(O53="",V53,O53))</f>
        <v/>
      </c>
      <c r="X53" s="34" t="str">
        <f aca="false">IF($A53="","",INDEX(Assumptions!$D$23:$D$40,T53))</f>
        <v/>
      </c>
      <c r="Y53" s="35" t="str">
        <f aca="false">IF($A53="","",IF(P53="",INDEX(Assumptions!$C$45:$C$51,MATCH(D53,Assumptions!$B$45:$B$51,0)),P53))</f>
        <v/>
      </c>
      <c r="Z53" s="36" t="str">
        <f aca="false">IF($A53="","",ECL_Calc!AA53)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5"/>
      <c r="G54" s="25"/>
      <c r="H54" s="26"/>
      <c r="I54" s="27"/>
      <c r="J54" s="24"/>
      <c r="K54" s="24"/>
      <c r="L54" s="28"/>
      <c r="M54" s="24"/>
      <c r="N54" s="24"/>
      <c r="O54" s="28"/>
      <c r="P54" s="29"/>
      <c r="Q54" s="30" t="str">
        <f aca="false">IF($A54="","",F54+G54)</f>
        <v/>
      </c>
      <c r="R54" s="31" t="str">
        <f aca="false">IF($A54="","",MAX(0,(I54-Assumptions!$C$3)/Assumptions!$C$11))</f>
        <v/>
      </c>
      <c r="S54" s="32" t="str">
        <f aca="false">IF($A54="","",MATCH(J54,Assumptions!$B$23:$B$40,0))</f>
        <v/>
      </c>
      <c r="T54" s="32" t="str">
        <f aca="false">IF($A54="","",MATCH(K54,Assumptions!$B$23:$B$40,0))</f>
        <v/>
      </c>
      <c r="U54" s="33" t="str">
        <f aca="false">IF($A54="","",T54-S54)</f>
        <v/>
      </c>
      <c r="V54" s="32" t="str">
        <f aca="false">IF($A54="","",IF(OR(L54&gt;Assumptions!$C$7,K54="D",N54="Y"),3,IF(OR(L54&gt;Assumptions!$C$6,M54="Y",AND(U54&gt;=Assumptions!$C$5,NOT(AND(Assumptions!$C$8="Y",T54&lt;=MATCH(Assumptions!$C$9,Assumptions!$B$23:$B$40,0))))),2,1)))</f>
        <v/>
      </c>
      <c r="W54" s="32" t="str">
        <f aca="false">IF($A54="","",IF(O54="",V54,O54))</f>
        <v/>
      </c>
      <c r="X54" s="34" t="str">
        <f aca="false">IF($A54="","",INDEX(Assumptions!$D$23:$D$40,T54))</f>
        <v/>
      </c>
      <c r="Y54" s="35" t="str">
        <f aca="false">IF($A54="","",IF(P54="",INDEX(Assumptions!$C$45:$C$51,MATCH(D54,Assumptions!$B$45:$B$51,0)),P54))</f>
        <v/>
      </c>
      <c r="Z54" s="36" t="str">
        <f aca="false">IF($A54="","",ECL_Calc!AA54)</f>
        <v/>
      </c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5"/>
      <c r="G55" s="25"/>
      <c r="H55" s="26"/>
      <c r="I55" s="27"/>
      <c r="J55" s="24"/>
      <c r="K55" s="24"/>
      <c r="L55" s="28"/>
      <c r="M55" s="24"/>
      <c r="N55" s="24"/>
      <c r="O55" s="28"/>
      <c r="P55" s="29"/>
      <c r="Q55" s="30" t="str">
        <f aca="false">IF($A55="","",F55+G55)</f>
        <v/>
      </c>
      <c r="R55" s="31" t="str">
        <f aca="false">IF($A55="","",MAX(0,(I55-Assumptions!$C$3)/Assumptions!$C$11))</f>
        <v/>
      </c>
      <c r="S55" s="32" t="str">
        <f aca="false">IF($A55="","",MATCH(J55,Assumptions!$B$23:$B$40,0))</f>
        <v/>
      </c>
      <c r="T55" s="32" t="str">
        <f aca="false">IF($A55="","",MATCH(K55,Assumptions!$B$23:$B$40,0))</f>
        <v/>
      </c>
      <c r="U55" s="33" t="str">
        <f aca="false">IF($A55="","",T55-S55)</f>
        <v/>
      </c>
      <c r="V55" s="32" t="str">
        <f aca="false">IF($A55="","",IF(OR(L55&gt;Assumptions!$C$7,K55="D",N55="Y"),3,IF(OR(L55&gt;Assumptions!$C$6,M55="Y",AND(U55&gt;=Assumptions!$C$5,NOT(AND(Assumptions!$C$8="Y",T55&lt;=MATCH(Assumptions!$C$9,Assumptions!$B$23:$B$40,0))))),2,1)))</f>
        <v/>
      </c>
      <c r="W55" s="32" t="str">
        <f aca="false">IF($A55="","",IF(O55="",V55,O55))</f>
        <v/>
      </c>
      <c r="X55" s="34" t="str">
        <f aca="false">IF($A55="","",INDEX(Assumptions!$D$23:$D$40,T55))</f>
        <v/>
      </c>
      <c r="Y55" s="35" t="str">
        <f aca="false">IF($A55="","",IF(P55="",INDEX(Assumptions!$C$45:$C$51,MATCH(D55,Assumptions!$B$45:$B$51,0)),P55))</f>
        <v/>
      </c>
      <c r="Z55" s="36" t="str">
        <f aca="false">IF($A55="","",ECL_Calc!AA55)</f>
        <v/>
      </c>
    </row>
    <row r="57" customFormat="false" ht="15" hidden="false" customHeight="false" outlineLevel="0" collapsed="false">
      <c r="A57" s="5" t="s">
        <v>183</v>
      </c>
      <c r="F57" s="37" t="n">
        <f aca="false">SUM(F6:F55)</f>
        <v>41000000</v>
      </c>
      <c r="G57" s="37" t="n">
        <f aca="false">SUM(G6:G55)</f>
        <v>504500</v>
      </c>
      <c r="Q57" s="37" t="n">
        <f aca="false">SUM(Q6:Q55)</f>
        <v>41504500</v>
      </c>
      <c r="Z57" s="37" t="n">
        <f aca="false">SUM(Z6:Z55)</f>
        <v>1169777.0016955</v>
      </c>
    </row>
  </sheetData>
  <conditionalFormatting sqref="W6:W55">
    <cfRule type="cellIs" priority="2" operator="equal" aboveAverage="0" equalAverage="0" bottom="0" percent="0" rank="0" text="" dxfId="0">
      <formula>3</formula>
    </cfRule>
    <cfRule type="cellIs" priority="3" operator="equal" aboveAverage="0" equalAverage="0" bottom="0" percent="0" rank="0" text="" dxfId="1">
      <formula>2</formula>
    </cfRule>
  </conditionalFormatting>
  <dataValidations count="5">
    <dataValidation allowBlank="true" error="Pick a value from the list" errorStyle="stop" operator="between" showDropDown="false" showErrorMessage="true" showInputMessage="false" sqref="D6:D55" type="list">
      <formula1>Assumptions!$B$45:$B$51</formula1>
      <formula2>0</formula2>
    </dataValidation>
    <dataValidation allowBlank="true" error="Pick a value from the list" errorStyle="stop" operator="between" showDropDown="false" showErrorMessage="true" showInputMessage="false" sqref="E6:E55" type="list">
      <formula1>"AC,FVOCI"</formula1>
      <formula2>0</formula2>
    </dataValidation>
    <dataValidation allowBlank="true" error="Pick a value from the list" errorStyle="stop" operator="between" showDropDown="false" showErrorMessage="true" showInputMessage="false" sqref="J6:K55" type="list">
      <formula1>Assumptions!$B$23:$B$40</formula1>
      <formula2>0</formula2>
    </dataValidation>
    <dataValidation allowBlank="true" error="Pick a value from the list" errorStyle="stop" operator="between" showDropDown="false" showErrorMessage="true" showInputMessage="false" sqref="M6:N55" type="list">
      <formula1>"Y,N"</formula1>
      <formula2>0</formula2>
    </dataValidation>
    <dataValidation allowBlank="true" error="Pick a value from the list" errorStyle="stop" operator="between" showDropDown="false" showErrorMessage="true" showInputMessage="false" sqref="O6:O55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2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38" t="s">
        <v>185</v>
      </c>
    </row>
    <row r="4" customFormat="false" ht="15" hidden="false" customHeight="true" outlineLevel="0" collapsed="false">
      <c r="J4" s="39" t="str">
        <f aca="false">Assumptions!B15&amp;" scenario (weight "&amp;TEXT(Assumptions!C15,"0%")&amp;")"</f>
        <v>Base scenario (weight 50%)</v>
      </c>
      <c r="K4" s="39"/>
      <c r="L4" s="39"/>
      <c r="M4" s="39"/>
      <c r="N4" s="39"/>
      <c r="O4" s="39" t="str">
        <f aca="false">Assumptions!B16&amp;" scenario (weight "&amp;TEXT(Assumptions!C16,"0%")&amp;")"</f>
        <v>Upside scenario (weight 20%)</v>
      </c>
      <c r="P4" s="39"/>
      <c r="Q4" s="39"/>
      <c r="R4" s="39"/>
      <c r="S4" s="39"/>
      <c r="T4" s="39" t="str">
        <f aca="false">Assumptions!B17&amp;" scenario (weight "&amp;TEXT(Assumptions!C17,"0%")&amp;")"</f>
        <v>Downside scenario (weight 30%)</v>
      </c>
      <c r="U4" s="39"/>
      <c r="V4" s="39"/>
      <c r="W4" s="39"/>
      <c r="X4" s="39"/>
      <c r="Y4" s="39" t="s">
        <v>186</v>
      </c>
      <c r="Z4" s="39"/>
      <c r="AA4" s="39"/>
      <c r="AB4" s="39"/>
    </row>
    <row r="5" customFormat="false" ht="30" hidden="false" customHeight="true" outlineLevel="0" collapsed="false">
      <c r="A5" s="17" t="s">
        <v>132</v>
      </c>
      <c r="B5" s="17" t="s">
        <v>153</v>
      </c>
      <c r="C5" s="17" t="s">
        <v>147</v>
      </c>
      <c r="D5" s="17" t="s">
        <v>187</v>
      </c>
      <c r="E5" s="17" t="s">
        <v>188</v>
      </c>
      <c r="F5" s="17" t="s">
        <v>85</v>
      </c>
      <c r="G5" s="17" t="s">
        <v>154</v>
      </c>
      <c r="H5" s="17" t="s">
        <v>189</v>
      </c>
      <c r="I5" s="17" t="s">
        <v>190</v>
      </c>
      <c r="J5" s="17" t="s">
        <v>31</v>
      </c>
      <c r="K5" s="17" t="s">
        <v>33</v>
      </c>
      <c r="L5" s="17" t="s">
        <v>191</v>
      </c>
      <c r="M5" s="17" t="s">
        <v>192</v>
      </c>
      <c r="N5" s="17" t="s">
        <v>193</v>
      </c>
      <c r="O5" s="17" t="s">
        <v>31</v>
      </c>
      <c r="P5" s="17" t="s">
        <v>33</v>
      </c>
      <c r="Q5" s="17" t="s">
        <v>191</v>
      </c>
      <c r="R5" s="17" t="s">
        <v>192</v>
      </c>
      <c r="S5" s="17" t="s">
        <v>193</v>
      </c>
      <c r="T5" s="17" t="s">
        <v>31</v>
      </c>
      <c r="U5" s="17" t="s">
        <v>33</v>
      </c>
      <c r="V5" s="17" t="s">
        <v>191</v>
      </c>
      <c r="W5" s="17" t="s">
        <v>192</v>
      </c>
      <c r="X5" s="17" t="s">
        <v>193</v>
      </c>
      <c r="Y5" s="17" t="s">
        <v>191</v>
      </c>
      <c r="Z5" s="17" t="s">
        <v>192</v>
      </c>
      <c r="AA5" s="17" t="s">
        <v>194</v>
      </c>
      <c r="AB5" s="17" t="s">
        <v>195</v>
      </c>
    </row>
    <row r="6" customFormat="false" ht="15" hidden="false" customHeight="false" outlineLevel="0" collapsed="false">
      <c r="A6" s="40" t="str">
        <f aca="false">IF(Portfolio!A6="","",Portfolio!A6)</f>
        <v>SK-001</v>
      </c>
      <c r="B6" s="41" t="n">
        <f aca="false">IF($A6="","",Portfolio!W6)</f>
        <v>1</v>
      </c>
      <c r="C6" s="42" t="n">
        <f aca="false">IF($A6="","",Portfolio!Q6)</f>
        <v>10125000</v>
      </c>
      <c r="D6" s="43" t="n">
        <f aca="false">IF($A6="","",Portfolio!R6)</f>
        <v>4.70636550308008</v>
      </c>
      <c r="E6" s="44" t="n">
        <f aca="false">IF($A6="","",Portfolio!H6)</f>
        <v>0.0475</v>
      </c>
      <c r="F6" s="44" t="n">
        <f aca="false">IF($A6="","",Portfolio!X6)</f>
        <v>0.0004</v>
      </c>
      <c r="G6" s="45" t="n">
        <f aca="false">IF($A6="","",Portfolio!Y6)</f>
        <v>0.4</v>
      </c>
      <c r="H6" s="46" t="n">
        <f aca="false">IF($A6="","",INT(D6))</f>
        <v>4</v>
      </c>
      <c r="I6" s="47" t="n">
        <f aca="false">IF($A6="","",D6-H6)</f>
        <v>0.706365503080082</v>
      </c>
      <c r="J6" s="48" t="n">
        <f aca="false">IF($A6="","",MIN(Assumptions!$C$10,$F6*Assumptions!$D$15))</f>
        <v>0.0004</v>
      </c>
      <c r="K6" s="49" t="n">
        <f aca="false">IF($A6="","",MIN(1,$G6*Assumptions!$E$15))</f>
        <v>0.4</v>
      </c>
      <c r="L6" s="50" t="n">
        <f aca="false">IF($A6="","",$C6*K6*(1-(1-J6)^MIN(1,$D6))/(1+$E6)^MIN(1,$D6))</f>
        <v>1546.53937947477</v>
      </c>
      <c r="M6" s="50" t="n">
        <f aca="false">IF($A6="","",$C6*K6*(IF(OR($H6=0,J6=0),0,J6/(1+$E6)*(1-((1-J6)/(1+$E6))^$H6)/(1-(1-J6)/(1+$E6)))+(1-J6)^$H6*(1-(1-J6)^$I6)/(1+$E6)^$D6))</f>
        <v>6693.00566668221</v>
      </c>
      <c r="N6" s="50" t="n">
        <f aca="false">IF($A6="","",IF($B6=3,$C6*K6,IF($B6=2,M6,L6)))</f>
        <v>1546.53937947477</v>
      </c>
      <c r="O6" s="48" t="n">
        <f aca="false">IF($A6="","",MIN(Assumptions!$C$10,$F6*Assumptions!$D$16))</f>
        <v>0.00032</v>
      </c>
      <c r="P6" s="49" t="n">
        <f aca="false">IF($A6="","",MIN(1,$G6*Assumptions!$E$16))</f>
        <v>0.38</v>
      </c>
      <c r="Q6" s="50" t="n">
        <f aca="false">IF($A6="","",$C6*P6*(1-(1-O6)^MIN(1,$D6))/(1+$E6)^MIN(1,$D6))</f>
        <v>1175.36992840091</v>
      </c>
      <c r="R6" s="50" t="n">
        <f aca="false">IF($A6="","",$C6*P6*(IF(OR($H6=0,O6=0),0,O6/(1+$E6)*(1-((1-O6)/(1+$E6))^$H6)/(1-(1-O6)/(1+$E6)))+(1-O6)^$H6*(1-(1-O6)^$I6)/(1+$E6)^$D6))</f>
        <v>5087.40591599263</v>
      </c>
      <c r="S6" s="50" t="n">
        <f aca="false">IF($A6="","",IF($B6=3,$C6*P6,IF($B6=2,R6,Q6)))</f>
        <v>1175.36992840091</v>
      </c>
      <c r="T6" s="48" t="n">
        <f aca="false">IF($A6="","",MIN(Assumptions!$C$10,$F6*Assumptions!$D$17))</f>
        <v>0.00064</v>
      </c>
      <c r="U6" s="49" t="n">
        <f aca="false">IF($A6="","",MIN(1,$G6*Assumptions!$E$17))</f>
        <v>0.46</v>
      </c>
      <c r="V6" s="50" t="n">
        <f aca="false">IF($A6="","",$C6*U6*(1-(1-T6)^MIN(1,$D6))/(1+$E6)^MIN(1,$D6))</f>
        <v>2845.63245823377</v>
      </c>
      <c r="W6" s="50" t="n">
        <f aca="false">IF($A6="","",$C6*U6*(IF(OR($H6=0,T6=0),0,T6/(1+$E6)*(1-((1-T6)/(1+$E6))^$H6)/(1-(1-T6)/(1+$E6)))+(1-T6)^$H6*(1-(1-T6)^$I6)/(1+$E6)^$D6))</f>
        <v>12309.8907448289</v>
      </c>
      <c r="X6" s="50" t="n">
        <f aca="false">IF($A6="","",IF($B6=3,$C6*U6,IF($B6=2,W6,V6)))</f>
        <v>2845.63245823377</v>
      </c>
      <c r="Y6" s="50" t="n">
        <f aca="false">IF($A6="","",L6*Assumptions!$C$15+Q6*Assumptions!$C$16+V6*Assumptions!$C$17)</f>
        <v>1862.0334128877</v>
      </c>
      <c r="Z6" s="50" t="n">
        <f aca="false">IF($A6="","",M6*Assumptions!$C$15+R6*Assumptions!$C$16+W6*Assumptions!$C$17)</f>
        <v>8056.9512399883</v>
      </c>
      <c r="AA6" s="50" t="n">
        <f aca="false">IF($A6="","",N6*Assumptions!$C$15+S6*Assumptions!$C$16+X6*Assumptions!$C$17)</f>
        <v>1862.0334128877</v>
      </c>
      <c r="AB6" s="48" t="n">
        <f aca="false">IF($A6="","",IF(C6=0,0,AA6/C6))</f>
        <v>0.000183904534606192</v>
      </c>
    </row>
    <row r="7" customFormat="false" ht="15" hidden="false" customHeight="false" outlineLevel="0" collapsed="false">
      <c r="A7" s="40" t="str">
        <f aca="false">IF(Portfolio!A7="","",Portfolio!A7)</f>
        <v>SK-002</v>
      </c>
      <c r="B7" s="41" t="n">
        <f aca="false">IF($A7="","",Portfolio!W7)</f>
        <v>1</v>
      </c>
      <c r="C7" s="42" t="n">
        <f aca="false">IF($A7="","",Portfolio!Q7)</f>
        <v>5042000</v>
      </c>
      <c r="D7" s="43" t="n">
        <f aca="false">IF($A7="","",Portfolio!R7)</f>
        <v>2.41752224503765</v>
      </c>
      <c r="E7" s="44" t="n">
        <f aca="false">IF($A7="","",Portfolio!H7)</f>
        <v>0.052</v>
      </c>
      <c r="F7" s="44" t="n">
        <f aca="false">IF($A7="","",Portfolio!X7)</f>
        <v>0.0015</v>
      </c>
      <c r="G7" s="45" t="n">
        <f aca="false">IF($A7="","",Portfolio!Y7)</f>
        <v>0.45</v>
      </c>
      <c r="H7" s="46" t="n">
        <f aca="false">IF($A7="","",INT(D7))</f>
        <v>2</v>
      </c>
      <c r="I7" s="47" t="n">
        <f aca="false">IF($A7="","",D7-H7)</f>
        <v>0.417522245037645</v>
      </c>
      <c r="J7" s="48" t="n">
        <f aca="false">IF($A7="","",MIN(Assumptions!$C$10,$F7*Assumptions!$D$15))</f>
        <v>0.0015</v>
      </c>
      <c r="K7" s="49" t="n">
        <f aca="false">IF($A7="","",MIN(1,$G7*Assumptions!$E$15))</f>
        <v>0.45</v>
      </c>
      <c r="L7" s="50" t="n">
        <f aca="false">IF($A7="","",$C7*K7*(1-(1-J7)^MIN(1,$D7))/(1+$E7)^MIN(1,$D7))</f>
        <v>3235.12357414437</v>
      </c>
      <c r="M7" s="50" t="n">
        <f aca="false">IF($A7="","",$C7*K7*(IF(OR($H7=0,J7=0),0,J7/(1+$E7)*(1-((1-J7)/(1+$E7))^$H7)/(1-(1-J7)/(1+$E7)))+(1-J7)^$H7*(1-(1-J7)^$I7)/(1+$E7)^$D7))</f>
        <v>7559.58217218372</v>
      </c>
      <c r="N7" s="50" t="n">
        <f aca="false">IF($A7="","",IF($B7=3,$C7*K7,IF($B7=2,M7,L7)))</f>
        <v>3235.12357414437</v>
      </c>
      <c r="O7" s="48" t="n">
        <f aca="false">IF($A7="","",MIN(Assumptions!$C$10,$F7*Assumptions!$D$16))</f>
        <v>0.0012</v>
      </c>
      <c r="P7" s="49" t="n">
        <f aca="false">IF($A7="","",MIN(1,$G7*Assumptions!$E$16))</f>
        <v>0.4275</v>
      </c>
      <c r="Q7" s="50" t="n">
        <f aca="false">IF($A7="","",$C7*P7*(1-(1-O7)^MIN(1,$D7))/(1+$E7)^MIN(1,$D7))</f>
        <v>2458.69391634977</v>
      </c>
      <c r="R7" s="50" t="n">
        <f aca="false">IF($A7="","",$C7*P7*(IF(OR($H7=0,O7=0),0,O7/(1+$E7)*(1-((1-O7)/(1+$E7))^$H7)/(1-(1-O7)/(1+$E7)))+(1-O7)^$H7*(1-(1-O7)^$I7)/(1+$E7)^$D7))</f>
        <v>5746.47291221343</v>
      </c>
      <c r="S7" s="50" t="n">
        <f aca="false">IF($A7="","",IF($B7=3,$C7*P7,IF($B7=2,R7,Q7)))</f>
        <v>2458.69391634977</v>
      </c>
      <c r="T7" s="48" t="n">
        <f aca="false">IF($A7="","",MIN(Assumptions!$C$10,$F7*Assumptions!$D$17))</f>
        <v>0.0024</v>
      </c>
      <c r="U7" s="49" t="n">
        <f aca="false">IF($A7="","",MIN(1,$G7*Assumptions!$E$17))</f>
        <v>0.5175</v>
      </c>
      <c r="V7" s="50" t="n">
        <f aca="false">IF($A7="","",$C7*U7*(1-(1-T7)^MIN(1,$D7))/(1+$E7)^MIN(1,$D7))</f>
        <v>5952.62737642575</v>
      </c>
      <c r="W7" s="50" t="n">
        <f aca="false">IF($A7="","",$C7*U7*(IF(OR($H7=0,T7=0),0,T7/(1+$E7)*(1-((1-T7)/(1+$E7))^$H7)/(1-(1-T7)/(1+$E7)))+(1-T7)^$H7*(1-(1-T7)^$I7)/(1+$E7)^$D7))</f>
        <v>13900.9861158668</v>
      </c>
      <c r="X7" s="50" t="n">
        <f aca="false">IF($A7="","",IF($B7=3,$C7*U7,IF($B7=2,W7,V7)))</f>
        <v>5952.62737642575</v>
      </c>
      <c r="Y7" s="50" t="n">
        <f aca="false">IF($A7="","",L7*Assumptions!$C$15+Q7*Assumptions!$C$16+V7*Assumptions!$C$17)</f>
        <v>3895.08878326986</v>
      </c>
      <c r="Z7" s="50" t="n">
        <f aca="false">IF($A7="","",M7*Assumptions!$C$15+R7*Assumptions!$C$16+W7*Assumptions!$C$17)</f>
        <v>9099.38150329457</v>
      </c>
      <c r="AA7" s="50" t="n">
        <f aca="false">IF($A7="","",N7*Assumptions!$C$15+S7*Assumptions!$C$16+X7*Assumptions!$C$17)</f>
        <v>3895.08878326986</v>
      </c>
      <c r="AB7" s="48" t="n">
        <f aca="false">IF($A7="","",IF(C7=0,0,AA7/C7))</f>
        <v>0.000772528517110247</v>
      </c>
    </row>
    <row r="8" customFormat="false" ht="15" hidden="false" customHeight="false" outlineLevel="0" collapsed="false">
      <c r="A8" s="40" t="str">
        <f aca="false">IF(Portfolio!A8="","",Portfolio!A8)</f>
        <v>SK-003</v>
      </c>
      <c r="B8" s="41" t="n">
        <f aca="false">IF($A8="","",Portfolio!W8)</f>
        <v>2</v>
      </c>
      <c r="C8" s="42" t="n">
        <f aca="false">IF($A8="","",Portfolio!Q8)</f>
        <v>7590000</v>
      </c>
      <c r="D8" s="43" t="n">
        <f aca="false">IF($A8="","",Portfolio!R8)</f>
        <v>4.13963039014374</v>
      </c>
      <c r="E8" s="44" t="n">
        <f aca="false">IF($A8="","",Portfolio!H8)</f>
        <v>0.061</v>
      </c>
      <c r="F8" s="44" t="n">
        <f aca="false">IF($A8="","",Portfolio!X8)</f>
        <v>0.0055</v>
      </c>
      <c r="G8" s="45" t="n">
        <f aca="false">IF($A8="","",Portfolio!Y8)</f>
        <v>0.35</v>
      </c>
      <c r="H8" s="46" t="n">
        <f aca="false">IF($A8="","",INT(D8))</f>
        <v>4</v>
      </c>
      <c r="I8" s="47" t="n">
        <f aca="false">IF($A8="","",D8-H8)</f>
        <v>0.139630390143737</v>
      </c>
      <c r="J8" s="48" t="n">
        <f aca="false">IF($A8="","",MIN(Assumptions!$C$10,$F8*Assumptions!$D$15))</f>
        <v>0.0055</v>
      </c>
      <c r="K8" s="49" t="n">
        <f aca="false">IF($A8="","",MIN(1,$G8*Assumptions!$E$15))</f>
        <v>0.35</v>
      </c>
      <c r="L8" s="50" t="n">
        <f aca="false">IF($A8="","",$C8*K8*(1-(1-J8)^MIN(1,$D8))/(1+$E8)^MIN(1,$D8))</f>
        <v>13770.7351555135</v>
      </c>
      <c r="M8" s="50" t="n">
        <f aca="false">IF($A8="","",$C8*K8*(IF(OR($H8=0,J8=0),0,J8/(1+$E8)*(1-((1-J8)/(1+$E8))^$H8)/(1-(1-J8)/(1+$E8)))+(1-J8)^$H8*(1-(1-J8)^$I8)/(1+$E8)^$D8))</f>
        <v>51682.795489202</v>
      </c>
      <c r="N8" s="50" t="n">
        <f aca="false">IF($A8="","",IF($B8=3,$C8*K8,IF($B8=2,M8,L8)))</f>
        <v>51682.795489202</v>
      </c>
      <c r="O8" s="48" t="n">
        <f aca="false">IF($A8="","",MIN(Assumptions!$C$10,$F8*Assumptions!$D$16))</f>
        <v>0.0044</v>
      </c>
      <c r="P8" s="49" t="n">
        <f aca="false">IF($A8="","",MIN(1,$G8*Assumptions!$E$16))</f>
        <v>0.3325</v>
      </c>
      <c r="Q8" s="50" t="n">
        <f aca="false">IF($A8="","",$C8*P8*(1-(1-O8)^MIN(1,$D8))/(1+$E8)^MIN(1,$D8))</f>
        <v>10465.7587181903</v>
      </c>
      <c r="R8" s="50" t="n">
        <f aca="false">IF($A8="","",$C8*P8*(IF(OR($H8=0,O8=0),0,O8/(1+$E8)*(1-((1-O8)/(1+$E8))^$H8)/(1-(1-O8)/(1+$E8)))+(1-O8)^$H8*(1-(1-O8)^$I8)/(1+$E8)^$D8))</f>
        <v>39343.4625485726</v>
      </c>
      <c r="S8" s="50" t="n">
        <f aca="false">IF($A8="","",IF($B8=3,$C8*P8,IF($B8=2,R8,Q8)))</f>
        <v>39343.4625485726</v>
      </c>
      <c r="T8" s="48" t="n">
        <f aca="false">IF($A8="","",MIN(Assumptions!$C$10,$F8*Assumptions!$D$17))</f>
        <v>0.0088</v>
      </c>
      <c r="U8" s="49" t="n">
        <f aca="false">IF($A8="","",MIN(1,$G8*Assumptions!$E$17))</f>
        <v>0.4025</v>
      </c>
      <c r="V8" s="50" t="n">
        <f aca="false">IF($A8="","",$C8*U8*(1-(1-T8)^MIN(1,$D8))/(1+$E8)^MIN(1,$D8))</f>
        <v>25338.1526861452</v>
      </c>
      <c r="W8" s="50" t="n">
        <f aca="false">IF($A8="","",$C8*U8*(IF(OR($H8=0,T8=0),0,T8/(1+$E8)*(1-((1-T8)/(1+$E8))^$H8)/(1-(1-T8)/(1+$E8)))+(1-T8)^$H8*(1-(1-T8)^$I8)/(1+$E8)^$D8))</f>
        <v>94629.0314304219</v>
      </c>
      <c r="X8" s="50" t="n">
        <f aca="false">IF($A8="","",IF($B8=3,$C8*U8,IF($B8=2,W8,V8)))</f>
        <v>94629.0314304219</v>
      </c>
      <c r="Y8" s="50" t="n">
        <f aca="false">IF($A8="","",L8*Assumptions!$C$15+Q8*Assumptions!$C$16+V8*Assumptions!$C$17)</f>
        <v>16579.9651272384</v>
      </c>
      <c r="Z8" s="50" t="n">
        <f aca="false">IF($A8="","",M8*Assumptions!$C$15+R8*Assumptions!$C$16+W8*Assumptions!$C$17)</f>
        <v>62098.7996834421</v>
      </c>
      <c r="AA8" s="50" t="n">
        <f aca="false">IF($A8="","",N8*Assumptions!$C$15+S8*Assumptions!$C$16+X8*Assumptions!$C$17)</f>
        <v>62098.7996834421</v>
      </c>
      <c r="AB8" s="48" t="n">
        <f aca="false">IF($A8="","",IF(C8=0,0,AA8/C8))</f>
        <v>0.00818166003734415</v>
      </c>
    </row>
    <row r="9" customFormat="false" ht="15" hidden="false" customHeight="false" outlineLevel="0" collapsed="false">
      <c r="A9" s="40" t="str">
        <f aca="false">IF(Portfolio!A9="","",Portfolio!A9)</f>
        <v>SK-004</v>
      </c>
      <c r="B9" s="41" t="n">
        <f aca="false">IF($A9="","",Portfolio!W9)</f>
        <v>1</v>
      </c>
      <c r="C9" s="42" t="n">
        <f aca="false">IF($A9="","",Portfolio!Q9)</f>
        <v>3015500</v>
      </c>
      <c r="D9" s="43" t="n">
        <f aca="false">IF($A9="","",Portfolio!R9)</f>
        <v>0.580424366872006</v>
      </c>
      <c r="E9" s="44" t="n">
        <f aca="false">IF($A9="","",Portfolio!H9)</f>
        <v>0.056</v>
      </c>
      <c r="F9" s="44" t="n">
        <f aca="false">IF($A9="","",Portfolio!X9)</f>
        <v>0.001</v>
      </c>
      <c r="G9" s="45" t="n">
        <f aca="false">IF($A9="","",Portfolio!Y9)</f>
        <v>0.45</v>
      </c>
      <c r="H9" s="46" t="n">
        <f aca="false">IF($A9="","",INT(D9))</f>
        <v>0</v>
      </c>
      <c r="I9" s="47" t="n">
        <f aca="false">IF($A9="","",D9-H9)</f>
        <v>0.580424366872006</v>
      </c>
      <c r="J9" s="48" t="n">
        <f aca="false">IF($A9="","",MIN(Assumptions!$C$10,$F9*Assumptions!$D$15))</f>
        <v>0.001</v>
      </c>
      <c r="K9" s="49" t="n">
        <f aca="false">IF($A9="","",MIN(1,$G9*Assumptions!$E$15))</f>
        <v>0.45</v>
      </c>
      <c r="L9" s="50" t="n">
        <f aca="false">IF($A9="","",$C9*K9*(1-(1-J9)^MIN(1,$D9))/(1+$E9)^MIN(1,$D9))</f>
        <v>763.261772288865</v>
      </c>
      <c r="M9" s="50" t="n">
        <f aca="false">IF($A9="","",$C9*K9*(IF(OR($H9=0,J9=0),0,J9/(1+$E9)*(1-((1-J9)/(1+$E9))^$H9)/(1-(1-J9)/(1+$E9)))+(1-J9)^$H9*(1-(1-J9)^$I9)/(1+$E9)^$D9))</f>
        <v>763.261772288865</v>
      </c>
      <c r="N9" s="50" t="n">
        <f aca="false">IF($A9="","",IF($B9=3,$C9*K9,IF($B9=2,M9,L9)))</f>
        <v>763.261772288865</v>
      </c>
      <c r="O9" s="48" t="n">
        <f aca="false">IF($A9="","",MIN(Assumptions!$C$10,$F9*Assumptions!$D$16))</f>
        <v>0.0008</v>
      </c>
      <c r="P9" s="49" t="n">
        <f aca="false">IF($A9="","",MIN(1,$G9*Assumptions!$E$16))</f>
        <v>0.4275</v>
      </c>
      <c r="Q9" s="50" t="n">
        <f aca="false">IF($A9="","",$C9*P9*(1-(1-O9)^MIN(1,$D9))/(1+$E9)^MIN(1,$D9))</f>
        <v>580.054592604648</v>
      </c>
      <c r="R9" s="50" t="n">
        <f aca="false">IF($A9="","",$C9*P9*(IF(OR($H9=0,O9=0),0,O9/(1+$E9)*(1-((1-O9)/(1+$E9))^$H9)/(1-(1-O9)/(1+$E9)))+(1-O9)^$H9*(1-(1-O9)^$I9)/(1+$E9)^$D9))</f>
        <v>580.054592604648</v>
      </c>
      <c r="S9" s="50" t="n">
        <f aca="false">IF($A9="","",IF($B9=3,$C9*P9,IF($B9=2,R9,Q9)))</f>
        <v>580.054592604648</v>
      </c>
      <c r="T9" s="48" t="n">
        <f aca="false">IF($A9="","",MIN(Assumptions!$C$10,$F9*Assumptions!$D$17))</f>
        <v>0.0016</v>
      </c>
      <c r="U9" s="49" t="n">
        <f aca="false">IF($A9="","",MIN(1,$G9*Assumptions!$E$17))</f>
        <v>0.5175</v>
      </c>
      <c r="V9" s="50" t="n">
        <f aca="false">IF($A9="","",$C9*U9*(1-(1-T9)^MIN(1,$D9))/(1+$E9)^MIN(1,$D9))</f>
        <v>1404.57861743381</v>
      </c>
      <c r="W9" s="50" t="n">
        <f aca="false">IF($A9="","",$C9*U9*(IF(OR($H9=0,T9=0),0,T9/(1+$E9)*(1-((1-T9)/(1+$E9))^$H9)/(1-(1-T9)/(1+$E9)))+(1-T9)^$H9*(1-(1-T9)^$I9)/(1+$E9)^$D9))</f>
        <v>1404.57861743381</v>
      </c>
      <c r="X9" s="50" t="n">
        <f aca="false">IF($A9="","",IF($B9=3,$C9*U9,IF($B9=2,W9,V9)))</f>
        <v>1404.57861743381</v>
      </c>
      <c r="Y9" s="50" t="n">
        <f aca="false">IF($A9="","",L9*Assumptions!$C$15+Q9*Assumptions!$C$16+V9*Assumptions!$C$17)</f>
        <v>919.015389895505</v>
      </c>
      <c r="Z9" s="50" t="n">
        <f aca="false">IF($A9="","",M9*Assumptions!$C$15+R9*Assumptions!$C$16+W9*Assumptions!$C$17)</f>
        <v>919.015389895505</v>
      </c>
      <c r="AA9" s="50" t="n">
        <f aca="false">IF($A9="","",N9*Assumptions!$C$15+S9*Assumptions!$C$16+X9*Assumptions!$C$17)</f>
        <v>919.015389895505</v>
      </c>
      <c r="AB9" s="48" t="n">
        <f aca="false">IF($A9="","",IF(C9=0,0,AA9/C9))</f>
        <v>0.000304763850073124</v>
      </c>
    </row>
    <row r="10" customFormat="false" ht="15" hidden="false" customHeight="false" outlineLevel="0" collapsed="false">
      <c r="A10" s="40" t="str">
        <f aca="false">IF(Portfolio!A10="","",Portfolio!A10)</f>
        <v>SK-005</v>
      </c>
      <c r="B10" s="41" t="n">
        <f aca="false">IF($A10="","",Portfolio!W10)</f>
        <v>2</v>
      </c>
      <c r="C10" s="42" t="n">
        <f aca="false">IF($A10="","",Portfolio!Q10)</f>
        <v>4038000</v>
      </c>
      <c r="D10" s="43" t="n">
        <f aca="false">IF($A10="","",Portfolio!R10)</f>
        <v>6.94592744695414</v>
      </c>
      <c r="E10" s="44" t="n">
        <f aca="false">IF($A10="","",Portfolio!H10)</f>
        <v>0.059</v>
      </c>
      <c r="F10" s="44" t="n">
        <f aca="false">IF($A10="","",Portfolio!X10)</f>
        <v>0.0025</v>
      </c>
      <c r="G10" s="45" t="n">
        <f aca="false">IF($A10="","",Portfolio!Y10)</f>
        <v>0.45</v>
      </c>
      <c r="H10" s="46" t="n">
        <f aca="false">IF($A10="","",INT(D10))</f>
        <v>6</v>
      </c>
      <c r="I10" s="47" t="n">
        <f aca="false">IF($A10="","",D10-H10)</f>
        <v>0.945927446954141</v>
      </c>
      <c r="J10" s="48" t="n">
        <f aca="false">IF($A10="","",MIN(Assumptions!$C$10,$F10*Assumptions!$D$15))</f>
        <v>0.0025</v>
      </c>
      <c r="K10" s="49" t="n">
        <f aca="false">IF($A10="","",MIN(1,$G10*Assumptions!$E$15))</f>
        <v>0.45</v>
      </c>
      <c r="L10" s="50" t="n">
        <f aca="false">IF($A10="","",$C10*K10*(1-(1-J10)^MIN(1,$D10))/(1+$E10)^MIN(1,$D10))</f>
        <v>4289.66005665713</v>
      </c>
      <c r="M10" s="50" t="n">
        <f aca="false">IF($A10="","",$C10*K10*(IF(OR($H10=0,J10=0),0,J10/(1+$E10)*(1-((1-J10)/(1+$E10))^$H10)/(1-(1-J10)/(1+$E10)))+(1-J10)^$H10*(1-(1-J10)^$I10)/(1+$E10)^$D10))</f>
        <v>25121.122298553</v>
      </c>
      <c r="N10" s="50" t="n">
        <f aca="false">IF($A10="","",IF($B10=3,$C10*K10,IF($B10=2,M10,L10)))</f>
        <v>25121.122298553</v>
      </c>
      <c r="O10" s="48" t="n">
        <f aca="false">IF($A10="","",MIN(Assumptions!$C$10,$F10*Assumptions!$D$16))</f>
        <v>0.002</v>
      </c>
      <c r="P10" s="49" t="n">
        <f aca="false">IF($A10="","",MIN(1,$G10*Assumptions!$E$16))</f>
        <v>0.4275</v>
      </c>
      <c r="Q10" s="50" t="n">
        <f aca="false">IF($A10="","",$C10*P10*(1-(1-O10)^MIN(1,$D10))/(1+$E10)^MIN(1,$D10))</f>
        <v>3260.14164305949</v>
      </c>
      <c r="R10" s="50" t="n">
        <f aca="false">IF($A10="","",$C10*P10*(IF(OR($H10=0,O10=0),0,O10/(1+$E10)*(1-((1-O10)/(1+$E10))^$H10)/(1-(1-O10)/(1+$E10)))+(1-O10)^$H10*(1-(1-O10)^$I10)/(1+$E10)^$D10))</f>
        <v>19118.2821581488</v>
      </c>
      <c r="S10" s="50" t="n">
        <f aca="false">IF($A10="","",IF($B10=3,$C10*P10,IF($B10=2,R10,Q10)))</f>
        <v>19118.2821581488</v>
      </c>
      <c r="T10" s="48" t="n">
        <f aca="false">IF($A10="","",MIN(Assumptions!$C$10,$F10*Assumptions!$D$17))</f>
        <v>0.004</v>
      </c>
      <c r="U10" s="49" t="n">
        <f aca="false">IF($A10="","",MIN(1,$G10*Assumptions!$E$17))</f>
        <v>0.5175</v>
      </c>
      <c r="V10" s="50" t="n">
        <f aca="false">IF($A10="","",$C10*U10*(1-(1-T10)^MIN(1,$D10))/(1+$E10)^MIN(1,$D10))</f>
        <v>7892.9745042493</v>
      </c>
      <c r="W10" s="50" t="n">
        <f aca="false">IF($A10="","",$C10*U10*(IF(OR($H10=0,T10=0),0,T10/(1+$E10)*(1-((1-T10)/(1+$E10))^$H10)/(1-(1-T10)/(1+$E10)))+(1-T10)^$H10*(1-(1-T10)^$I10)/(1+$E10)^$D10))</f>
        <v>46032.9613336275</v>
      </c>
      <c r="X10" s="50" t="n">
        <f aca="false">IF($A10="","",IF($B10=3,$C10*U10,IF($B10=2,W10,V10)))</f>
        <v>46032.9613336275</v>
      </c>
      <c r="Y10" s="50" t="n">
        <f aca="false">IF($A10="","",L10*Assumptions!$C$15+Q10*Assumptions!$C$16+V10*Assumptions!$C$17)</f>
        <v>5164.75070821526</v>
      </c>
      <c r="Z10" s="50" t="n">
        <f aca="false">IF($A10="","",M10*Assumptions!$C$15+R10*Assumptions!$C$16+W10*Assumptions!$C$17)</f>
        <v>30194.1059809945</v>
      </c>
      <c r="AA10" s="50" t="n">
        <f aca="false">IF($A10="","",N10*Assumptions!$C$15+S10*Assumptions!$C$16+X10*Assumptions!$C$17)</f>
        <v>30194.1059809945</v>
      </c>
      <c r="AB10" s="48" t="n">
        <f aca="false">IF($A10="","",IF(C10=0,0,AA10/C10))</f>
        <v>0.00747749033704668</v>
      </c>
    </row>
    <row r="11" customFormat="false" ht="15" hidden="false" customHeight="false" outlineLevel="0" collapsed="false">
      <c r="A11" s="40" t="str">
        <f aca="false">IF(Portfolio!A11="","",Portfolio!A11)</f>
        <v>SK-006</v>
      </c>
      <c r="B11" s="41" t="n">
        <f aca="false">IF($A11="","",Portfolio!W11)</f>
        <v>2</v>
      </c>
      <c r="C11" s="42" t="n">
        <f aca="false">IF($A11="","",Portfolio!Q11)</f>
        <v>2060000</v>
      </c>
      <c r="D11" s="43" t="n">
        <f aca="false">IF($A11="","",Portfolio!R11)</f>
        <v>1.41273100616016</v>
      </c>
      <c r="E11" s="44" t="n">
        <f aca="false">IF($A11="","",Portfolio!H11)</f>
        <v>0.085</v>
      </c>
      <c r="F11" s="44" t="n">
        <f aca="false">IF($A11="","",Portfolio!X11)</f>
        <v>0.05</v>
      </c>
      <c r="G11" s="45" t="n">
        <f aca="false">IF($A11="","",Portfolio!Y11)</f>
        <v>0.6</v>
      </c>
      <c r="H11" s="46" t="n">
        <f aca="false">IF($A11="","",INT(D11))</f>
        <v>1</v>
      </c>
      <c r="I11" s="47" t="n">
        <f aca="false">IF($A11="","",D11-H11)</f>
        <v>0.412731006160164</v>
      </c>
      <c r="J11" s="48" t="n">
        <f aca="false">IF($A11="","",MIN(Assumptions!$C$10,$F11*Assumptions!$D$15))</f>
        <v>0.05</v>
      </c>
      <c r="K11" s="49" t="n">
        <f aca="false">IF($A11="","",MIN(1,$G11*Assumptions!$E$15))</f>
        <v>0.6</v>
      </c>
      <c r="L11" s="50" t="n">
        <f aca="false">IF($A11="","",$C11*K11*(1-(1-J11)^MIN(1,$D11))/(1+$E11)^MIN(1,$D11))</f>
        <v>56958.5253456222</v>
      </c>
      <c r="M11" s="50" t="n">
        <f aca="false">IF($A11="","",$C11*K11*(IF(OR($H11=0,J11=0),0,J11/(1+$E11)*(1-((1-J11)/(1+$E11))^$H11)/(1-(1-J11)/(1+$E11)))+(1-J11)^$H11*(1-(1-J11)^$I11)/(1+$E11)^$D11))</f>
        <v>78877.8973049546</v>
      </c>
      <c r="N11" s="50" t="n">
        <f aca="false">IF($A11="","",IF($B11=3,$C11*K11,IF($B11=2,M11,L11)))</f>
        <v>78877.8973049546</v>
      </c>
      <c r="O11" s="48" t="n">
        <f aca="false">IF($A11="","",MIN(Assumptions!$C$10,$F11*Assumptions!$D$16))</f>
        <v>0.04</v>
      </c>
      <c r="P11" s="49" t="n">
        <f aca="false">IF($A11="","",MIN(1,$G11*Assumptions!$E$16))</f>
        <v>0.57</v>
      </c>
      <c r="Q11" s="50" t="n">
        <f aca="false">IF($A11="","",$C11*P11*(1-(1-O11)^MIN(1,$D11))/(1+$E11)^MIN(1,$D11))</f>
        <v>43288.4792626729</v>
      </c>
      <c r="R11" s="50" t="n">
        <f aca="false">IF($A11="","",$C11*P11*(IF(OR($H11=0,O11=0),0,O11/(1+$E11)*(1-((1-O11)/(1+$E11))^$H11)/(1-(1-O11)/(1+$E11)))+(1-O11)^$H11*(1-(1-O11)^$I11)/(1+$E11)^$D11))</f>
        <v>60071.4356730274</v>
      </c>
      <c r="S11" s="50" t="n">
        <f aca="false">IF($A11="","",IF($B11=3,$C11*P11,IF($B11=2,R11,Q11)))</f>
        <v>60071.4356730274</v>
      </c>
      <c r="T11" s="48" t="n">
        <f aca="false">IF($A11="","",MIN(Assumptions!$C$10,$F11*Assumptions!$D$17))</f>
        <v>0.08</v>
      </c>
      <c r="U11" s="49" t="n">
        <f aca="false">IF($A11="","",MIN(1,$G11*Assumptions!$E$17))</f>
        <v>0.69</v>
      </c>
      <c r="V11" s="50" t="n">
        <f aca="false">IF($A11="","",$C11*U11*(1-(1-T11)^MIN(1,$D11))/(1+$E11)^MIN(1,$D11))</f>
        <v>104803.686635945</v>
      </c>
      <c r="W11" s="50" t="n">
        <f aca="false">IF($A11="","",$C11*U11*(IF(OR($H11=0,T11=0),0,T11/(1+$E11)*(1-((1-T11)/(1+$E11))^$H11)/(1-(1-T11)/(1+$E11)))+(1-T11)^$H11*(1-(1-T11)^$I11)/(1+$E11)^$D11))</f>
        <v>144225.564117045</v>
      </c>
      <c r="X11" s="50" t="n">
        <f aca="false">IF($A11="","",IF($B11=3,$C11*U11,IF($B11=2,W11,V11)))</f>
        <v>144225.564117045</v>
      </c>
      <c r="Y11" s="50" t="n">
        <f aca="false">IF($A11="","",L11*Assumptions!$C$15+Q11*Assumptions!$C$16+V11*Assumptions!$C$17)</f>
        <v>68578.0645161291</v>
      </c>
      <c r="Z11" s="50" t="n">
        <f aca="false">IF($A11="","",M11*Assumptions!$C$15+R11*Assumptions!$C$16+W11*Assumptions!$C$17)</f>
        <v>94720.9050221962</v>
      </c>
      <c r="AA11" s="50" t="n">
        <f aca="false">IF($A11="","",N11*Assumptions!$C$15+S11*Assumptions!$C$16+X11*Assumptions!$C$17)</f>
        <v>94720.9050221962</v>
      </c>
      <c r="AB11" s="48" t="n">
        <f aca="false">IF($A11="","",IF(C11=0,0,AA11/C11))</f>
        <v>0.045981021855435</v>
      </c>
    </row>
    <row r="12" customFormat="false" ht="15" hidden="false" customHeight="false" outlineLevel="0" collapsed="false">
      <c r="A12" s="40" t="str">
        <f aca="false">IF(Portfolio!A12="","",Portfolio!A12)</f>
        <v>SK-007</v>
      </c>
      <c r="B12" s="41" t="n">
        <f aca="false">IF($A12="","",Portfolio!W12)</f>
        <v>3</v>
      </c>
      <c r="C12" s="42" t="n">
        <f aca="false">IF($A12="","",Portfolio!Q12)</f>
        <v>1570000</v>
      </c>
      <c r="D12" s="43" t="n">
        <f aca="false">IF($A12="","",Portfolio!R12)</f>
        <v>1.25119780971937</v>
      </c>
      <c r="E12" s="44" t="n">
        <f aca="false">IF($A12="","",Portfolio!H12)</f>
        <v>0.09</v>
      </c>
      <c r="F12" s="44" t="n">
        <f aca="false">IF($A12="","",Portfolio!X12)</f>
        <v>1</v>
      </c>
      <c r="G12" s="45" t="n">
        <f aca="false">IF($A12="","",Portfolio!Y12)</f>
        <v>0.6</v>
      </c>
      <c r="H12" s="46" t="n">
        <f aca="false">IF($A12="","",INT(D12))</f>
        <v>1</v>
      </c>
      <c r="I12" s="47" t="n">
        <f aca="false">IF($A12="","",D12-H12)</f>
        <v>0.25119780971937</v>
      </c>
      <c r="J12" s="48" t="n">
        <f aca="false">IF($A12="","",MIN(Assumptions!$C$10,$F12*Assumptions!$D$15))</f>
        <v>0.9999</v>
      </c>
      <c r="K12" s="49" t="n">
        <f aca="false">IF($A12="","",MIN(1,$G12*Assumptions!$E$15))</f>
        <v>0.6</v>
      </c>
      <c r="L12" s="50" t="n">
        <f aca="false">IF($A12="","",$C12*K12*(1-(1-J12)^MIN(1,$D12))/(1+$E12)^MIN(1,$D12))</f>
        <v>864133.76146789</v>
      </c>
      <c r="M12" s="50" t="n">
        <f aca="false">IF($A12="","",$C12*K12*(IF(OR($H12=0,J12=0),0,J12/(1+$E12)*(1-((1-J12)/(1+$E12))^$H12)/(1-(1-J12)/(1+$E12)))+(1-J12)^$H12*(1-(1-J12)^$I12)/(1+$E12)^$D12))</f>
        <v>864209.968416353</v>
      </c>
      <c r="N12" s="50" t="n">
        <f aca="false">IF($A12="","",IF($B12=3,$C12*K12,IF($B12=2,M12,L12)))</f>
        <v>942000</v>
      </c>
      <c r="O12" s="48" t="n">
        <f aca="false">IF($A12="","",MIN(Assumptions!$C$10,$F12*Assumptions!$D$16))</f>
        <v>0.8</v>
      </c>
      <c r="P12" s="49" t="n">
        <f aca="false">IF($A12="","",MIN(1,$G12*Assumptions!$E$16))</f>
        <v>0.57</v>
      </c>
      <c r="Q12" s="50" t="n">
        <f aca="false">IF($A12="","",$C12*P12*(1-(1-O12)^MIN(1,$D12))/(1+$E12)^MIN(1,$D12))</f>
        <v>656807.339449541</v>
      </c>
      <c r="R12" s="50" t="n">
        <f aca="false">IF($A12="","",$C12*P12*(IF(OR($H12=0,O12=0),0,O12/(1+$E12)*(1-((1-O12)/(1+$E12))^$H12)/(1-(1-O12)/(1+$E12)))+(1-O12)^$H12*(1-(1-O12)^$I12)/(1+$E12)^$D12))</f>
        <v>710242.908163401</v>
      </c>
      <c r="S12" s="50" t="n">
        <f aca="false">IF($A12="","",IF($B12=3,$C12*P12,IF($B12=2,R12,Q12)))</f>
        <v>894900</v>
      </c>
      <c r="T12" s="48" t="n">
        <f aca="false">IF($A12="","",MIN(Assumptions!$C$10,$F12*Assumptions!$D$17))</f>
        <v>0.9999</v>
      </c>
      <c r="U12" s="49" t="n">
        <f aca="false">IF($A12="","",MIN(1,$G12*Assumptions!$E$17))</f>
        <v>0.69</v>
      </c>
      <c r="V12" s="50" t="n">
        <f aca="false">IF($A12="","",$C12*U12*(1-(1-T12)^MIN(1,$D12))/(1+$E12)^MIN(1,$D12))</f>
        <v>993753.825688073</v>
      </c>
      <c r="W12" s="50" t="n">
        <f aca="false">IF($A12="","",$C12*U12*(IF(OR($H12=0,T12=0),0,T12/(1+$E12)*(1-((1-T12)/(1+$E12))^$H12)/(1-(1-T12)/(1+$E12)))+(1-T12)^$H12*(1-(1-T12)^$I12)/(1+$E12)^$D12))</f>
        <v>993841.463678806</v>
      </c>
      <c r="X12" s="50" t="n">
        <f aca="false">IF($A12="","",IF($B12=3,$C12*U12,IF($B12=2,W12,V12)))</f>
        <v>1083300</v>
      </c>
      <c r="Y12" s="50" t="n">
        <f aca="false">IF($A12="","",L12*Assumptions!$C$15+Q12*Assumptions!$C$16+V12*Assumptions!$C$17)</f>
        <v>861554.496330275</v>
      </c>
      <c r="Z12" s="50" t="n">
        <f aca="false">IF($A12="","",M12*Assumptions!$C$15+R12*Assumptions!$C$16+W12*Assumptions!$C$17)</f>
        <v>872306.004944498</v>
      </c>
      <c r="AA12" s="50" t="n">
        <f aca="false">IF($A12="","",N12*Assumptions!$C$15+S12*Assumptions!$C$16+X12*Assumptions!$C$17)</f>
        <v>974970</v>
      </c>
      <c r="AB12" s="48" t="n">
        <f aca="false">IF($A12="","",IF(C12=0,0,AA12/C12))</f>
        <v>0.621</v>
      </c>
    </row>
    <row r="13" customFormat="false" ht="15" hidden="false" customHeight="false" outlineLevel="0" collapsed="false">
      <c r="A13" s="40" t="str">
        <f aca="false">IF(Portfolio!A13="","",Portfolio!A13)</f>
        <v>SK-008</v>
      </c>
      <c r="B13" s="41" t="n">
        <f aca="false">IF($A13="","",Portfolio!W13)</f>
        <v>1</v>
      </c>
      <c r="C13" s="42" t="n">
        <f aca="false">IF($A13="","",Portfolio!Q13)</f>
        <v>8064000</v>
      </c>
      <c r="D13" s="43" t="n">
        <f aca="false">IF($A13="","",Portfolio!R13)</f>
        <v>9.29226557152635</v>
      </c>
      <c r="E13" s="44" t="n">
        <f aca="false">IF($A13="","",Portfolio!H13)</f>
        <v>0.043</v>
      </c>
      <c r="F13" s="44" t="n">
        <f aca="false">IF($A13="","",Portfolio!X13)</f>
        <v>0.0003</v>
      </c>
      <c r="G13" s="45" t="n">
        <f aca="false">IF($A13="","",Portfolio!Y13)</f>
        <v>0.4</v>
      </c>
      <c r="H13" s="46" t="n">
        <f aca="false">IF($A13="","",INT(D13))</f>
        <v>9</v>
      </c>
      <c r="I13" s="47" t="n">
        <f aca="false">IF($A13="","",D13-H13)</f>
        <v>0.292265571526352</v>
      </c>
      <c r="J13" s="48" t="n">
        <f aca="false">IF($A13="","",MIN(Assumptions!$C$10,$F13*Assumptions!$D$15))</f>
        <v>0.0003</v>
      </c>
      <c r="K13" s="49" t="n">
        <f aca="false">IF($A13="","",MIN(1,$G13*Assumptions!$E$15))</f>
        <v>0.4</v>
      </c>
      <c r="L13" s="50" t="n">
        <f aca="false">IF($A13="","",$C13*K13*(1-(1-J13)^MIN(1,$D13))/(1+$E13)^MIN(1,$D13))</f>
        <v>927.785234899227</v>
      </c>
      <c r="M13" s="50" t="n">
        <f aca="false">IF($A13="","",$C13*K13*(IF(OR($H13=0,J13=0),0,J13/(1+$E13)*(1-((1-J13)/(1+$E13))^$H13)/(1-(1-J13)/(1+$E13)))+(1-J13)^$H13*(1-(1-J13)^$I13)/(1+$E13)^$D13))</f>
        <v>7280.50787477507</v>
      </c>
      <c r="N13" s="50" t="n">
        <f aca="false">IF($A13="","",IF($B13=3,$C13*K13,IF($B13=2,M13,L13)))</f>
        <v>927.785234899227</v>
      </c>
      <c r="O13" s="48" t="n">
        <f aca="false">IF($A13="","",MIN(Assumptions!$C$10,$F13*Assumptions!$D$16))</f>
        <v>0.00024</v>
      </c>
      <c r="P13" s="49" t="n">
        <f aca="false">IF($A13="","",MIN(1,$G13*Assumptions!$E$16))</f>
        <v>0.38</v>
      </c>
      <c r="Q13" s="50" t="n">
        <f aca="false">IF($A13="","",$C13*P13*(1-(1-O13)^MIN(1,$D13))/(1+$E13)^MIN(1,$D13))</f>
        <v>705.116778523543</v>
      </c>
      <c r="R13" s="50" t="n">
        <f aca="false">IF($A13="","",$C13*P13*(IF(OR($H13=0,O13=0),0,O13/(1+$E13)*(1-((1-O13)/(1+$E13))^$H13)/(1-(1-O13)/(1+$E13)))+(1-O13)^$H13*(1-(1-O13)^$I13)/(1+$E13)^$D13))</f>
        <v>5534.46376402011</v>
      </c>
      <c r="S13" s="50" t="n">
        <f aca="false">IF($A13="","",IF($B13=3,$C13*P13,IF($B13=2,R13,Q13)))</f>
        <v>705.116778523543</v>
      </c>
      <c r="T13" s="48" t="n">
        <f aca="false">IF($A13="","",MIN(Assumptions!$C$10,$F13*Assumptions!$D$17))</f>
        <v>0.00048</v>
      </c>
      <c r="U13" s="49" t="n">
        <f aca="false">IF($A13="","",MIN(1,$G13*Assumptions!$E$17))</f>
        <v>0.46</v>
      </c>
      <c r="V13" s="50" t="n">
        <f aca="false">IF($A13="","",$C13*U13*(1-(1-T13)^MIN(1,$D13))/(1+$E13)^MIN(1,$D13))</f>
        <v>1707.12483221489</v>
      </c>
      <c r="W13" s="50" t="n">
        <f aca="false">IF($A13="","",$C13*U13*(IF(OR($H13=0,T13=0),0,T13/(1+$E13)*(1-((1-T13)/(1+$E13))^$H13)/(1-(1-T13)/(1+$E13)))+(1-T13)^$H13*(1-(1-T13)^$I13)/(1+$E13)^$D13))</f>
        <v>13386.8589926129</v>
      </c>
      <c r="X13" s="50" t="n">
        <f aca="false">IF($A13="","",IF($B13=3,$C13*U13,IF($B13=2,W13,V13)))</f>
        <v>1707.12483221489</v>
      </c>
      <c r="Y13" s="50" t="n">
        <f aca="false">IF($A13="","",L13*Assumptions!$C$15+Q13*Assumptions!$C$16+V13*Assumptions!$C$17)</f>
        <v>1117.05342281879</v>
      </c>
      <c r="Z13" s="50" t="n">
        <f aca="false">IF($A13="","",M13*Assumptions!$C$15+R13*Assumptions!$C$16+W13*Assumptions!$C$17)</f>
        <v>8763.20438797544</v>
      </c>
      <c r="AA13" s="50" t="n">
        <f aca="false">IF($A13="","",N13*Assumptions!$C$15+S13*Assumptions!$C$16+X13*Assumptions!$C$17)</f>
        <v>1117.05342281879</v>
      </c>
      <c r="AB13" s="48" t="n">
        <f aca="false">IF($A13="","",IF(C13=0,0,AA13/C13))</f>
        <v>0.000138523489932886</v>
      </c>
    </row>
    <row r="14" customFormat="false" ht="15" hidden="false" customHeight="false" outlineLevel="0" collapsed="false">
      <c r="A14" s="40" t="str">
        <f aca="false">IF(Portfolio!A14="","",Portfolio!A14)</f>
        <v/>
      </c>
      <c r="B14" s="41" t="str">
        <f aca="false">IF($A14="","",Portfolio!W14)</f>
        <v/>
      </c>
      <c r="C14" s="42" t="str">
        <f aca="false">IF($A14="","",Portfolio!Q14)</f>
        <v/>
      </c>
      <c r="D14" s="43" t="str">
        <f aca="false">IF($A14="","",Portfolio!R14)</f>
        <v/>
      </c>
      <c r="E14" s="44" t="str">
        <f aca="false">IF($A14="","",Portfolio!H14)</f>
        <v/>
      </c>
      <c r="F14" s="44" t="str">
        <f aca="false">IF($A14="","",Portfolio!X14)</f>
        <v/>
      </c>
      <c r="G14" s="45" t="str">
        <f aca="false">IF($A14="","",Portfolio!Y14)</f>
        <v/>
      </c>
      <c r="H14" s="46" t="str">
        <f aca="false">IF($A14="","",INT(D14))</f>
        <v/>
      </c>
      <c r="I14" s="47" t="str">
        <f aca="false">IF($A14="","",D14-H14)</f>
        <v/>
      </c>
      <c r="J14" s="48" t="str">
        <f aca="false">IF($A14="","",MIN(Assumptions!$C$10,$F14*Assumptions!$D$15))</f>
        <v/>
      </c>
      <c r="K14" s="49" t="str">
        <f aca="false">IF($A14="","",MIN(1,$G14*Assumptions!$E$15))</f>
        <v/>
      </c>
      <c r="L14" s="50" t="str">
        <f aca="false">IF($A14="","",$C14*K14*(1-(1-J14)^MIN(1,$D14))/(1+$E14)^MIN(1,$D14))</f>
        <v/>
      </c>
      <c r="M14" s="50" t="str">
        <f aca="false">IF($A14="","",$C14*K14*(IF(OR($H14=0,J14=0),0,J14/(1+$E14)*(1-((1-J14)/(1+$E14))^$H14)/(1-(1-J14)/(1+$E14)))+(1-J14)^$H14*(1-(1-J14)^$I14)/(1+$E14)^$D14))</f>
        <v/>
      </c>
      <c r="N14" s="50" t="str">
        <f aca="false">IF($A14="","",IF($B14=3,$C14*K14,IF($B14=2,M14,L14)))</f>
        <v/>
      </c>
      <c r="O14" s="48" t="str">
        <f aca="false">IF($A14="","",MIN(Assumptions!$C$10,$F14*Assumptions!$D$16))</f>
        <v/>
      </c>
      <c r="P14" s="49" t="str">
        <f aca="false">IF($A14="","",MIN(1,$G14*Assumptions!$E$16))</f>
        <v/>
      </c>
      <c r="Q14" s="50" t="str">
        <f aca="false">IF($A14="","",$C14*P14*(1-(1-O14)^MIN(1,$D14))/(1+$E14)^MIN(1,$D14))</f>
        <v/>
      </c>
      <c r="R14" s="50" t="str">
        <f aca="false">IF($A14="","",$C14*P14*(IF(OR($H14=0,O14=0),0,O14/(1+$E14)*(1-((1-O14)/(1+$E14))^$H14)/(1-(1-O14)/(1+$E14)))+(1-O14)^$H14*(1-(1-O14)^$I14)/(1+$E14)^$D14))</f>
        <v/>
      </c>
      <c r="S14" s="50" t="str">
        <f aca="false">IF($A14="","",IF($B14=3,$C14*P14,IF($B14=2,R14,Q14)))</f>
        <v/>
      </c>
      <c r="T14" s="48" t="str">
        <f aca="false">IF($A14="","",MIN(Assumptions!$C$10,$F14*Assumptions!$D$17))</f>
        <v/>
      </c>
      <c r="U14" s="49" t="str">
        <f aca="false">IF($A14="","",MIN(1,$G14*Assumptions!$E$17))</f>
        <v/>
      </c>
      <c r="V14" s="50" t="str">
        <f aca="false">IF($A14="","",$C14*U14*(1-(1-T14)^MIN(1,$D14))/(1+$E14)^MIN(1,$D14))</f>
        <v/>
      </c>
      <c r="W14" s="50" t="str">
        <f aca="false">IF($A14="","",$C14*U14*(IF(OR($H14=0,T14=0),0,T14/(1+$E14)*(1-((1-T14)/(1+$E14))^$H14)/(1-(1-T14)/(1+$E14)))+(1-T14)^$H14*(1-(1-T14)^$I14)/(1+$E14)^$D14))</f>
        <v/>
      </c>
      <c r="X14" s="50" t="str">
        <f aca="false">IF($A14="","",IF($B14=3,$C14*U14,IF($B14=2,W14,V14)))</f>
        <v/>
      </c>
      <c r="Y14" s="50" t="str">
        <f aca="false">IF($A14="","",L14*Assumptions!$C$15+Q14*Assumptions!$C$16+V14*Assumptions!$C$17)</f>
        <v/>
      </c>
      <c r="Z14" s="50" t="str">
        <f aca="false">IF($A14="","",M14*Assumptions!$C$15+R14*Assumptions!$C$16+W14*Assumptions!$C$17)</f>
        <v/>
      </c>
      <c r="AA14" s="50" t="str">
        <f aca="false">IF($A14="","",N14*Assumptions!$C$15+S14*Assumptions!$C$16+X14*Assumptions!$C$17)</f>
        <v/>
      </c>
      <c r="AB14" s="48" t="str">
        <f aca="false">IF($A14="","",IF(C14=0,0,AA14/C14))</f>
        <v/>
      </c>
    </row>
    <row r="15" customFormat="false" ht="15" hidden="false" customHeight="false" outlineLevel="0" collapsed="false">
      <c r="A15" s="40" t="str">
        <f aca="false">IF(Portfolio!A15="","",Portfolio!A15)</f>
        <v/>
      </c>
      <c r="B15" s="41" t="str">
        <f aca="false">IF($A15="","",Portfolio!W15)</f>
        <v/>
      </c>
      <c r="C15" s="42" t="str">
        <f aca="false">IF($A15="","",Portfolio!Q15)</f>
        <v/>
      </c>
      <c r="D15" s="43" t="str">
        <f aca="false">IF($A15="","",Portfolio!R15)</f>
        <v/>
      </c>
      <c r="E15" s="44" t="str">
        <f aca="false">IF($A15="","",Portfolio!H15)</f>
        <v/>
      </c>
      <c r="F15" s="44" t="str">
        <f aca="false">IF($A15="","",Portfolio!X15)</f>
        <v/>
      </c>
      <c r="G15" s="45" t="str">
        <f aca="false">IF($A15="","",Portfolio!Y15)</f>
        <v/>
      </c>
      <c r="H15" s="46" t="str">
        <f aca="false">IF($A15="","",INT(D15))</f>
        <v/>
      </c>
      <c r="I15" s="47" t="str">
        <f aca="false">IF($A15="","",D15-H15)</f>
        <v/>
      </c>
      <c r="J15" s="48" t="str">
        <f aca="false">IF($A15="","",MIN(Assumptions!$C$10,$F15*Assumptions!$D$15))</f>
        <v/>
      </c>
      <c r="K15" s="49" t="str">
        <f aca="false">IF($A15="","",MIN(1,$G15*Assumptions!$E$15))</f>
        <v/>
      </c>
      <c r="L15" s="50" t="str">
        <f aca="false">IF($A15="","",$C15*K15*(1-(1-J15)^MIN(1,$D15))/(1+$E15)^MIN(1,$D15))</f>
        <v/>
      </c>
      <c r="M15" s="50" t="str">
        <f aca="false">IF($A15="","",$C15*K15*(IF(OR($H15=0,J15=0),0,J15/(1+$E15)*(1-((1-J15)/(1+$E15))^$H15)/(1-(1-J15)/(1+$E15)))+(1-J15)^$H15*(1-(1-J15)^$I15)/(1+$E15)^$D15))</f>
        <v/>
      </c>
      <c r="N15" s="50" t="str">
        <f aca="false">IF($A15="","",IF($B15=3,$C15*K15,IF($B15=2,M15,L15)))</f>
        <v/>
      </c>
      <c r="O15" s="48" t="str">
        <f aca="false">IF($A15="","",MIN(Assumptions!$C$10,$F15*Assumptions!$D$16))</f>
        <v/>
      </c>
      <c r="P15" s="49" t="str">
        <f aca="false">IF($A15="","",MIN(1,$G15*Assumptions!$E$16))</f>
        <v/>
      </c>
      <c r="Q15" s="50" t="str">
        <f aca="false">IF($A15="","",$C15*P15*(1-(1-O15)^MIN(1,$D15))/(1+$E15)^MIN(1,$D15))</f>
        <v/>
      </c>
      <c r="R15" s="50" t="str">
        <f aca="false">IF($A15="","",$C15*P15*(IF(OR($H15=0,O15=0),0,O15/(1+$E15)*(1-((1-O15)/(1+$E15))^$H15)/(1-(1-O15)/(1+$E15)))+(1-O15)^$H15*(1-(1-O15)^$I15)/(1+$E15)^$D15))</f>
        <v/>
      </c>
      <c r="S15" s="50" t="str">
        <f aca="false">IF($A15="","",IF($B15=3,$C15*P15,IF($B15=2,R15,Q15)))</f>
        <v/>
      </c>
      <c r="T15" s="48" t="str">
        <f aca="false">IF($A15="","",MIN(Assumptions!$C$10,$F15*Assumptions!$D$17))</f>
        <v/>
      </c>
      <c r="U15" s="49" t="str">
        <f aca="false">IF($A15="","",MIN(1,$G15*Assumptions!$E$17))</f>
        <v/>
      </c>
      <c r="V15" s="50" t="str">
        <f aca="false">IF($A15="","",$C15*U15*(1-(1-T15)^MIN(1,$D15))/(1+$E15)^MIN(1,$D15))</f>
        <v/>
      </c>
      <c r="W15" s="50" t="str">
        <f aca="false">IF($A15="","",$C15*U15*(IF(OR($H15=0,T15=0),0,T15/(1+$E15)*(1-((1-T15)/(1+$E15))^$H15)/(1-(1-T15)/(1+$E15)))+(1-T15)^$H15*(1-(1-T15)^$I15)/(1+$E15)^$D15))</f>
        <v/>
      </c>
      <c r="X15" s="50" t="str">
        <f aca="false">IF($A15="","",IF($B15=3,$C15*U15,IF($B15=2,W15,V15)))</f>
        <v/>
      </c>
      <c r="Y15" s="50" t="str">
        <f aca="false">IF($A15="","",L15*Assumptions!$C$15+Q15*Assumptions!$C$16+V15*Assumptions!$C$17)</f>
        <v/>
      </c>
      <c r="Z15" s="50" t="str">
        <f aca="false">IF($A15="","",M15*Assumptions!$C$15+R15*Assumptions!$C$16+W15*Assumptions!$C$17)</f>
        <v/>
      </c>
      <c r="AA15" s="50" t="str">
        <f aca="false">IF($A15="","",N15*Assumptions!$C$15+S15*Assumptions!$C$16+X15*Assumptions!$C$17)</f>
        <v/>
      </c>
      <c r="AB15" s="48" t="str">
        <f aca="false">IF($A15="","",IF(C15=0,0,AA15/C15))</f>
        <v/>
      </c>
    </row>
    <row r="16" customFormat="false" ht="15" hidden="false" customHeight="false" outlineLevel="0" collapsed="false">
      <c r="A16" s="40" t="str">
        <f aca="false">IF(Portfolio!A16="","",Portfolio!A16)</f>
        <v/>
      </c>
      <c r="B16" s="41" t="str">
        <f aca="false">IF($A16="","",Portfolio!W16)</f>
        <v/>
      </c>
      <c r="C16" s="42" t="str">
        <f aca="false">IF($A16="","",Portfolio!Q16)</f>
        <v/>
      </c>
      <c r="D16" s="43" t="str">
        <f aca="false">IF($A16="","",Portfolio!R16)</f>
        <v/>
      </c>
      <c r="E16" s="44" t="str">
        <f aca="false">IF($A16="","",Portfolio!H16)</f>
        <v/>
      </c>
      <c r="F16" s="44" t="str">
        <f aca="false">IF($A16="","",Portfolio!X16)</f>
        <v/>
      </c>
      <c r="G16" s="45" t="str">
        <f aca="false">IF($A16="","",Portfolio!Y16)</f>
        <v/>
      </c>
      <c r="H16" s="46" t="str">
        <f aca="false">IF($A16="","",INT(D16))</f>
        <v/>
      </c>
      <c r="I16" s="47" t="str">
        <f aca="false">IF($A16="","",D16-H16)</f>
        <v/>
      </c>
      <c r="J16" s="48" t="str">
        <f aca="false">IF($A16="","",MIN(Assumptions!$C$10,$F16*Assumptions!$D$15))</f>
        <v/>
      </c>
      <c r="K16" s="49" t="str">
        <f aca="false">IF($A16="","",MIN(1,$G16*Assumptions!$E$15))</f>
        <v/>
      </c>
      <c r="L16" s="50" t="str">
        <f aca="false">IF($A16="","",$C16*K16*(1-(1-J16)^MIN(1,$D16))/(1+$E16)^MIN(1,$D16))</f>
        <v/>
      </c>
      <c r="M16" s="50" t="str">
        <f aca="false">IF($A16="","",$C16*K16*(IF(OR($H16=0,J16=0),0,J16/(1+$E16)*(1-((1-J16)/(1+$E16))^$H16)/(1-(1-J16)/(1+$E16)))+(1-J16)^$H16*(1-(1-J16)^$I16)/(1+$E16)^$D16))</f>
        <v/>
      </c>
      <c r="N16" s="50" t="str">
        <f aca="false">IF($A16="","",IF($B16=3,$C16*K16,IF($B16=2,M16,L16)))</f>
        <v/>
      </c>
      <c r="O16" s="48" t="str">
        <f aca="false">IF($A16="","",MIN(Assumptions!$C$10,$F16*Assumptions!$D$16))</f>
        <v/>
      </c>
      <c r="P16" s="49" t="str">
        <f aca="false">IF($A16="","",MIN(1,$G16*Assumptions!$E$16))</f>
        <v/>
      </c>
      <c r="Q16" s="50" t="str">
        <f aca="false">IF($A16="","",$C16*P16*(1-(1-O16)^MIN(1,$D16))/(1+$E16)^MIN(1,$D16))</f>
        <v/>
      </c>
      <c r="R16" s="50" t="str">
        <f aca="false">IF($A16="","",$C16*P16*(IF(OR($H16=0,O16=0),0,O16/(1+$E16)*(1-((1-O16)/(1+$E16))^$H16)/(1-(1-O16)/(1+$E16)))+(1-O16)^$H16*(1-(1-O16)^$I16)/(1+$E16)^$D16))</f>
        <v/>
      </c>
      <c r="S16" s="50" t="str">
        <f aca="false">IF($A16="","",IF($B16=3,$C16*P16,IF($B16=2,R16,Q16)))</f>
        <v/>
      </c>
      <c r="T16" s="48" t="str">
        <f aca="false">IF($A16="","",MIN(Assumptions!$C$10,$F16*Assumptions!$D$17))</f>
        <v/>
      </c>
      <c r="U16" s="49" t="str">
        <f aca="false">IF($A16="","",MIN(1,$G16*Assumptions!$E$17))</f>
        <v/>
      </c>
      <c r="V16" s="50" t="str">
        <f aca="false">IF($A16="","",$C16*U16*(1-(1-T16)^MIN(1,$D16))/(1+$E16)^MIN(1,$D16))</f>
        <v/>
      </c>
      <c r="W16" s="50" t="str">
        <f aca="false">IF($A16="","",$C16*U16*(IF(OR($H16=0,T16=0),0,T16/(1+$E16)*(1-((1-T16)/(1+$E16))^$H16)/(1-(1-T16)/(1+$E16)))+(1-T16)^$H16*(1-(1-T16)^$I16)/(1+$E16)^$D16))</f>
        <v/>
      </c>
      <c r="X16" s="50" t="str">
        <f aca="false">IF($A16="","",IF($B16=3,$C16*U16,IF($B16=2,W16,V16)))</f>
        <v/>
      </c>
      <c r="Y16" s="50" t="str">
        <f aca="false">IF($A16="","",L16*Assumptions!$C$15+Q16*Assumptions!$C$16+V16*Assumptions!$C$17)</f>
        <v/>
      </c>
      <c r="Z16" s="50" t="str">
        <f aca="false">IF($A16="","",M16*Assumptions!$C$15+R16*Assumptions!$C$16+W16*Assumptions!$C$17)</f>
        <v/>
      </c>
      <c r="AA16" s="50" t="str">
        <f aca="false">IF($A16="","",N16*Assumptions!$C$15+S16*Assumptions!$C$16+X16*Assumptions!$C$17)</f>
        <v/>
      </c>
      <c r="AB16" s="48" t="str">
        <f aca="false">IF($A16="","",IF(C16=0,0,AA16/C16))</f>
        <v/>
      </c>
    </row>
    <row r="17" customFormat="false" ht="15" hidden="false" customHeight="false" outlineLevel="0" collapsed="false">
      <c r="A17" s="40" t="str">
        <f aca="false">IF(Portfolio!A17="","",Portfolio!A17)</f>
        <v/>
      </c>
      <c r="B17" s="41" t="str">
        <f aca="false">IF($A17="","",Portfolio!W17)</f>
        <v/>
      </c>
      <c r="C17" s="42" t="str">
        <f aca="false">IF($A17="","",Portfolio!Q17)</f>
        <v/>
      </c>
      <c r="D17" s="43" t="str">
        <f aca="false">IF($A17="","",Portfolio!R17)</f>
        <v/>
      </c>
      <c r="E17" s="44" t="str">
        <f aca="false">IF($A17="","",Portfolio!H17)</f>
        <v/>
      </c>
      <c r="F17" s="44" t="str">
        <f aca="false">IF($A17="","",Portfolio!X17)</f>
        <v/>
      </c>
      <c r="G17" s="45" t="str">
        <f aca="false">IF($A17="","",Portfolio!Y17)</f>
        <v/>
      </c>
      <c r="H17" s="46" t="str">
        <f aca="false">IF($A17="","",INT(D17))</f>
        <v/>
      </c>
      <c r="I17" s="47" t="str">
        <f aca="false">IF($A17="","",D17-H17)</f>
        <v/>
      </c>
      <c r="J17" s="48" t="str">
        <f aca="false">IF($A17="","",MIN(Assumptions!$C$10,$F17*Assumptions!$D$15))</f>
        <v/>
      </c>
      <c r="K17" s="49" t="str">
        <f aca="false">IF($A17="","",MIN(1,$G17*Assumptions!$E$15))</f>
        <v/>
      </c>
      <c r="L17" s="50" t="str">
        <f aca="false">IF($A17="","",$C17*K17*(1-(1-J17)^MIN(1,$D17))/(1+$E17)^MIN(1,$D17))</f>
        <v/>
      </c>
      <c r="M17" s="50" t="str">
        <f aca="false">IF($A17="","",$C17*K17*(IF(OR($H17=0,J17=0),0,J17/(1+$E17)*(1-((1-J17)/(1+$E17))^$H17)/(1-(1-J17)/(1+$E17)))+(1-J17)^$H17*(1-(1-J17)^$I17)/(1+$E17)^$D17))</f>
        <v/>
      </c>
      <c r="N17" s="50" t="str">
        <f aca="false">IF($A17="","",IF($B17=3,$C17*K17,IF($B17=2,M17,L17)))</f>
        <v/>
      </c>
      <c r="O17" s="48" t="str">
        <f aca="false">IF($A17="","",MIN(Assumptions!$C$10,$F17*Assumptions!$D$16))</f>
        <v/>
      </c>
      <c r="P17" s="49" t="str">
        <f aca="false">IF($A17="","",MIN(1,$G17*Assumptions!$E$16))</f>
        <v/>
      </c>
      <c r="Q17" s="50" t="str">
        <f aca="false">IF($A17="","",$C17*P17*(1-(1-O17)^MIN(1,$D17))/(1+$E17)^MIN(1,$D17))</f>
        <v/>
      </c>
      <c r="R17" s="50" t="str">
        <f aca="false">IF($A17="","",$C17*P17*(IF(OR($H17=0,O17=0),0,O17/(1+$E17)*(1-((1-O17)/(1+$E17))^$H17)/(1-(1-O17)/(1+$E17)))+(1-O17)^$H17*(1-(1-O17)^$I17)/(1+$E17)^$D17))</f>
        <v/>
      </c>
      <c r="S17" s="50" t="str">
        <f aca="false">IF($A17="","",IF($B17=3,$C17*P17,IF($B17=2,R17,Q17)))</f>
        <v/>
      </c>
      <c r="T17" s="48" t="str">
        <f aca="false">IF($A17="","",MIN(Assumptions!$C$10,$F17*Assumptions!$D$17))</f>
        <v/>
      </c>
      <c r="U17" s="49" t="str">
        <f aca="false">IF($A17="","",MIN(1,$G17*Assumptions!$E$17))</f>
        <v/>
      </c>
      <c r="V17" s="50" t="str">
        <f aca="false">IF($A17="","",$C17*U17*(1-(1-T17)^MIN(1,$D17))/(1+$E17)^MIN(1,$D17))</f>
        <v/>
      </c>
      <c r="W17" s="50" t="str">
        <f aca="false">IF($A17="","",$C17*U17*(IF(OR($H17=0,T17=0),0,T17/(1+$E17)*(1-((1-T17)/(1+$E17))^$H17)/(1-(1-T17)/(1+$E17)))+(1-T17)^$H17*(1-(1-T17)^$I17)/(1+$E17)^$D17))</f>
        <v/>
      </c>
      <c r="X17" s="50" t="str">
        <f aca="false">IF($A17="","",IF($B17=3,$C17*U17,IF($B17=2,W17,V17)))</f>
        <v/>
      </c>
      <c r="Y17" s="50" t="str">
        <f aca="false">IF($A17="","",L17*Assumptions!$C$15+Q17*Assumptions!$C$16+V17*Assumptions!$C$17)</f>
        <v/>
      </c>
      <c r="Z17" s="50" t="str">
        <f aca="false">IF($A17="","",M17*Assumptions!$C$15+R17*Assumptions!$C$16+W17*Assumptions!$C$17)</f>
        <v/>
      </c>
      <c r="AA17" s="50" t="str">
        <f aca="false">IF($A17="","",N17*Assumptions!$C$15+S17*Assumptions!$C$16+X17*Assumptions!$C$17)</f>
        <v/>
      </c>
      <c r="AB17" s="48" t="str">
        <f aca="false">IF($A17="","",IF(C17=0,0,AA17/C17))</f>
        <v/>
      </c>
    </row>
    <row r="18" customFormat="false" ht="15" hidden="false" customHeight="false" outlineLevel="0" collapsed="false">
      <c r="A18" s="40" t="str">
        <f aca="false">IF(Portfolio!A18="","",Portfolio!A18)</f>
        <v/>
      </c>
      <c r="B18" s="41" t="str">
        <f aca="false">IF($A18="","",Portfolio!W18)</f>
        <v/>
      </c>
      <c r="C18" s="42" t="str">
        <f aca="false">IF($A18="","",Portfolio!Q18)</f>
        <v/>
      </c>
      <c r="D18" s="43" t="str">
        <f aca="false">IF($A18="","",Portfolio!R18)</f>
        <v/>
      </c>
      <c r="E18" s="44" t="str">
        <f aca="false">IF($A18="","",Portfolio!H18)</f>
        <v/>
      </c>
      <c r="F18" s="44" t="str">
        <f aca="false">IF($A18="","",Portfolio!X18)</f>
        <v/>
      </c>
      <c r="G18" s="45" t="str">
        <f aca="false">IF($A18="","",Portfolio!Y18)</f>
        <v/>
      </c>
      <c r="H18" s="46" t="str">
        <f aca="false">IF($A18="","",INT(D18))</f>
        <v/>
      </c>
      <c r="I18" s="47" t="str">
        <f aca="false">IF($A18="","",D18-H18)</f>
        <v/>
      </c>
      <c r="J18" s="48" t="str">
        <f aca="false">IF($A18="","",MIN(Assumptions!$C$10,$F18*Assumptions!$D$15))</f>
        <v/>
      </c>
      <c r="K18" s="49" t="str">
        <f aca="false">IF($A18="","",MIN(1,$G18*Assumptions!$E$15))</f>
        <v/>
      </c>
      <c r="L18" s="50" t="str">
        <f aca="false">IF($A18="","",$C18*K18*(1-(1-J18)^MIN(1,$D18))/(1+$E18)^MIN(1,$D18))</f>
        <v/>
      </c>
      <c r="M18" s="50" t="str">
        <f aca="false">IF($A18="","",$C18*K18*(IF(OR($H18=0,J18=0),0,J18/(1+$E18)*(1-((1-J18)/(1+$E18))^$H18)/(1-(1-J18)/(1+$E18)))+(1-J18)^$H18*(1-(1-J18)^$I18)/(1+$E18)^$D18))</f>
        <v/>
      </c>
      <c r="N18" s="50" t="str">
        <f aca="false">IF($A18="","",IF($B18=3,$C18*K18,IF($B18=2,M18,L18)))</f>
        <v/>
      </c>
      <c r="O18" s="48" t="str">
        <f aca="false">IF($A18="","",MIN(Assumptions!$C$10,$F18*Assumptions!$D$16))</f>
        <v/>
      </c>
      <c r="P18" s="49" t="str">
        <f aca="false">IF($A18="","",MIN(1,$G18*Assumptions!$E$16))</f>
        <v/>
      </c>
      <c r="Q18" s="50" t="str">
        <f aca="false">IF($A18="","",$C18*P18*(1-(1-O18)^MIN(1,$D18))/(1+$E18)^MIN(1,$D18))</f>
        <v/>
      </c>
      <c r="R18" s="50" t="str">
        <f aca="false">IF($A18="","",$C18*P18*(IF(OR($H18=0,O18=0),0,O18/(1+$E18)*(1-((1-O18)/(1+$E18))^$H18)/(1-(1-O18)/(1+$E18)))+(1-O18)^$H18*(1-(1-O18)^$I18)/(1+$E18)^$D18))</f>
        <v/>
      </c>
      <c r="S18" s="50" t="str">
        <f aca="false">IF($A18="","",IF($B18=3,$C18*P18,IF($B18=2,R18,Q18)))</f>
        <v/>
      </c>
      <c r="T18" s="48" t="str">
        <f aca="false">IF($A18="","",MIN(Assumptions!$C$10,$F18*Assumptions!$D$17))</f>
        <v/>
      </c>
      <c r="U18" s="49" t="str">
        <f aca="false">IF($A18="","",MIN(1,$G18*Assumptions!$E$17))</f>
        <v/>
      </c>
      <c r="V18" s="50" t="str">
        <f aca="false">IF($A18="","",$C18*U18*(1-(1-T18)^MIN(1,$D18))/(1+$E18)^MIN(1,$D18))</f>
        <v/>
      </c>
      <c r="W18" s="50" t="str">
        <f aca="false">IF($A18="","",$C18*U18*(IF(OR($H18=0,T18=0),0,T18/(1+$E18)*(1-((1-T18)/(1+$E18))^$H18)/(1-(1-T18)/(1+$E18)))+(1-T18)^$H18*(1-(1-T18)^$I18)/(1+$E18)^$D18))</f>
        <v/>
      </c>
      <c r="X18" s="50" t="str">
        <f aca="false">IF($A18="","",IF($B18=3,$C18*U18,IF($B18=2,W18,V18)))</f>
        <v/>
      </c>
      <c r="Y18" s="50" t="str">
        <f aca="false">IF($A18="","",L18*Assumptions!$C$15+Q18*Assumptions!$C$16+V18*Assumptions!$C$17)</f>
        <v/>
      </c>
      <c r="Z18" s="50" t="str">
        <f aca="false">IF($A18="","",M18*Assumptions!$C$15+R18*Assumptions!$C$16+W18*Assumptions!$C$17)</f>
        <v/>
      </c>
      <c r="AA18" s="50" t="str">
        <f aca="false">IF($A18="","",N18*Assumptions!$C$15+S18*Assumptions!$C$16+X18*Assumptions!$C$17)</f>
        <v/>
      </c>
      <c r="AB18" s="48" t="str">
        <f aca="false">IF($A18="","",IF(C18=0,0,AA18/C18))</f>
        <v/>
      </c>
    </row>
    <row r="19" customFormat="false" ht="15" hidden="false" customHeight="false" outlineLevel="0" collapsed="false">
      <c r="A19" s="40" t="str">
        <f aca="false">IF(Portfolio!A19="","",Portfolio!A19)</f>
        <v/>
      </c>
      <c r="B19" s="41" t="str">
        <f aca="false">IF($A19="","",Portfolio!W19)</f>
        <v/>
      </c>
      <c r="C19" s="42" t="str">
        <f aca="false">IF($A19="","",Portfolio!Q19)</f>
        <v/>
      </c>
      <c r="D19" s="43" t="str">
        <f aca="false">IF($A19="","",Portfolio!R19)</f>
        <v/>
      </c>
      <c r="E19" s="44" t="str">
        <f aca="false">IF($A19="","",Portfolio!H19)</f>
        <v/>
      </c>
      <c r="F19" s="44" t="str">
        <f aca="false">IF($A19="","",Portfolio!X19)</f>
        <v/>
      </c>
      <c r="G19" s="45" t="str">
        <f aca="false">IF($A19="","",Portfolio!Y19)</f>
        <v/>
      </c>
      <c r="H19" s="46" t="str">
        <f aca="false">IF($A19="","",INT(D19))</f>
        <v/>
      </c>
      <c r="I19" s="47" t="str">
        <f aca="false">IF($A19="","",D19-H19)</f>
        <v/>
      </c>
      <c r="J19" s="48" t="str">
        <f aca="false">IF($A19="","",MIN(Assumptions!$C$10,$F19*Assumptions!$D$15))</f>
        <v/>
      </c>
      <c r="K19" s="49" t="str">
        <f aca="false">IF($A19="","",MIN(1,$G19*Assumptions!$E$15))</f>
        <v/>
      </c>
      <c r="L19" s="50" t="str">
        <f aca="false">IF($A19="","",$C19*K19*(1-(1-J19)^MIN(1,$D19))/(1+$E19)^MIN(1,$D19))</f>
        <v/>
      </c>
      <c r="M19" s="50" t="str">
        <f aca="false">IF($A19="","",$C19*K19*(IF(OR($H19=0,J19=0),0,J19/(1+$E19)*(1-((1-J19)/(1+$E19))^$H19)/(1-(1-J19)/(1+$E19)))+(1-J19)^$H19*(1-(1-J19)^$I19)/(1+$E19)^$D19))</f>
        <v/>
      </c>
      <c r="N19" s="50" t="str">
        <f aca="false">IF($A19="","",IF($B19=3,$C19*K19,IF($B19=2,M19,L19)))</f>
        <v/>
      </c>
      <c r="O19" s="48" t="str">
        <f aca="false">IF($A19="","",MIN(Assumptions!$C$10,$F19*Assumptions!$D$16))</f>
        <v/>
      </c>
      <c r="P19" s="49" t="str">
        <f aca="false">IF($A19="","",MIN(1,$G19*Assumptions!$E$16))</f>
        <v/>
      </c>
      <c r="Q19" s="50" t="str">
        <f aca="false">IF($A19="","",$C19*P19*(1-(1-O19)^MIN(1,$D19))/(1+$E19)^MIN(1,$D19))</f>
        <v/>
      </c>
      <c r="R19" s="50" t="str">
        <f aca="false">IF($A19="","",$C19*P19*(IF(OR($H19=0,O19=0),0,O19/(1+$E19)*(1-((1-O19)/(1+$E19))^$H19)/(1-(1-O19)/(1+$E19)))+(1-O19)^$H19*(1-(1-O19)^$I19)/(1+$E19)^$D19))</f>
        <v/>
      </c>
      <c r="S19" s="50" t="str">
        <f aca="false">IF($A19="","",IF($B19=3,$C19*P19,IF($B19=2,R19,Q19)))</f>
        <v/>
      </c>
      <c r="T19" s="48" t="str">
        <f aca="false">IF($A19="","",MIN(Assumptions!$C$10,$F19*Assumptions!$D$17))</f>
        <v/>
      </c>
      <c r="U19" s="49" t="str">
        <f aca="false">IF($A19="","",MIN(1,$G19*Assumptions!$E$17))</f>
        <v/>
      </c>
      <c r="V19" s="50" t="str">
        <f aca="false">IF($A19="","",$C19*U19*(1-(1-T19)^MIN(1,$D19))/(1+$E19)^MIN(1,$D19))</f>
        <v/>
      </c>
      <c r="W19" s="50" t="str">
        <f aca="false">IF($A19="","",$C19*U19*(IF(OR($H19=0,T19=0),0,T19/(1+$E19)*(1-((1-T19)/(1+$E19))^$H19)/(1-(1-T19)/(1+$E19)))+(1-T19)^$H19*(1-(1-T19)^$I19)/(1+$E19)^$D19))</f>
        <v/>
      </c>
      <c r="X19" s="50" t="str">
        <f aca="false">IF($A19="","",IF($B19=3,$C19*U19,IF($B19=2,W19,V19)))</f>
        <v/>
      </c>
      <c r="Y19" s="50" t="str">
        <f aca="false">IF($A19="","",L19*Assumptions!$C$15+Q19*Assumptions!$C$16+V19*Assumptions!$C$17)</f>
        <v/>
      </c>
      <c r="Z19" s="50" t="str">
        <f aca="false">IF($A19="","",M19*Assumptions!$C$15+R19*Assumptions!$C$16+W19*Assumptions!$C$17)</f>
        <v/>
      </c>
      <c r="AA19" s="50" t="str">
        <f aca="false">IF($A19="","",N19*Assumptions!$C$15+S19*Assumptions!$C$16+X19*Assumptions!$C$17)</f>
        <v/>
      </c>
      <c r="AB19" s="48" t="str">
        <f aca="false">IF($A19="","",IF(C19=0,0,AA19/C19))</f>
        <v/>
      </c>
    </row>
    <row r="20" customFormat="false" ht="15" hidden="false" customHeight="false" outlineLevel="0" collapsed="false">
      <c r="A20" s="40" t="str">
        <f aca="false">IF(Portfolio!A20="","",Portfolio!A20)</f>
        <v/>
      </c>
      <c r="B20" s="41" t="str">
        <f aca="false">IF($A20="","",Portfolio!W20)</f>
        <v/>
      </c>
      <c r="C20" s="42" t="str">
        <f aca="false">IF($A20="","",Portfolio!Q20)</f>
        <v/>
      </c>
      <c r="D20" s="43" t="str">
        <f aca="false">IF($A20="","",Portfolio!R20)</f>
        <v/>
      </c>
      <c r="E20" s="44" t="str">
        <f aca="false">IF($A20="","",Portfolio!H20)</f>
        <v/>
      </c>
      <c r="F20" s="44" t="str">
        <f aca="false">IF($A20="","",Portfolio!X20)</f>
        <v/>
      </c>
      <c r="G20" s="45" t="str">
        <f aca="false">IF($A20="","",Portfolio!Y20)</f>
        <v/>
      </c>
      <c r="H20" s="46" t="str">
        <f aca="false">IF($A20="","",INT(D20))</f>
        <v/>
      </c>
      <c r="I20" s="47" t="str">
        <f aca="false">IF($A20="","",D20-H20)</f>
        <v/>
      </c>
      <c r="J20" s="48" t="str">
        <f aca="false">IF($A20="","",MIN(Assumptions!$C$10,$F20*Assumptions!$D$15))</f>
        <v/>
      </c>
      <c r="K20" s="49" t="str">
        <f aca="false">IF($A20="","",MIN(1,$G20*Assumptions!$E$15))</f>
        <v/>
      </c>
      <c r="L20" s="50" t="str">
        <f aca="false">IF($A20="","",$C20*K20*(1-(1-J20)^MIN(1,$D20))/(1+$E20)^MIN(1,$D20))</f>
        <v/>
      </c>
      <c r="M20" s="50" t="str">
        <f aca="false">IF($A20="","",$C20*K20*(IF(OR($H20=0,J20=0),0,J20/(1+$E20)*(1-((1-J20)/(1+$E20))^$H20)/(1-(1-J20)/(1+$E20)))+(1-J20)^$H20*(1-(1-J20)^$I20)/(1+$E20)^$D20))</f>
        <v/>
      </c>
      <c r="N20" s="50" t="str">
        <f aca="false">IF($A20="","",IF($B20=3,$C20*K20,IF($B20=2,M20,L20)))</f>
        <v/>
      </c>
      <c r="O20" s="48" t="str">
        <f aca="false">IF($A20="","",MIN(Assumptions!$C$10,$F20*Assumptions!$D$16))</f>
        <v/>
      </c>
      <c r="P20" s="49" t="str">
        <f aca="false">IF($A20="","",MIN(1,$G20*Assumptions!$E$16))</f>
        <v/>
      </c>
      <c r="Q20" s="50" t="str">
        <f aca="false">IF($A20="","",$C20*P20*(1-(1-O20)^MIN(1,$D20))/(1+$E20)^MIN(1,$D20))</f>
        <v/>
      </c>
      <c r="R20" s="50" t="str">
        <f aca="false">IF($A20="","",$C20*P20*(IF(OR($H20=0,O20=0),0,O20/(1+$E20)*(1-((1-O20)/(1+$E20))^$H20)/(1-(1-O20)/(1+$E20)))+(1-O20)^$H20*(1-(1-O20)^$I20)/(1+$E20)^$D20))</f>
        <v/>
      </c>
      <c r="S20" s="50" t="str">
        <f aca="false">IF($A20="","",IF($B20=3,$C20*P20,IF($B20=2,R20,Q20)))</f>
        <v/>
      </c>
      <c r="T20" s="48" t="str">
        <f aca="false">IF($A20="","",MIN(Assumptions!$C$10,$F20*Assumptions!$D$17))</f>
        <v/>
      </c>
      <c r="U20" s="49" t="str">
        <f aca="false">IF($A20="","",MIN(1,$G20*Assumptions!$E$17))</f>
        <v/>
      </c>
      <c r="V20" s="50" t="str">
        <f aca="false">IF($A20="","",$C20*U20*(1-(1-T20)^MIN(1,$D20))/(1+$E20)^MIN(1,$D20))</f>
        <v/>
      </c>
      <c r="W20" s="50" t="str">
        <f aca="false">IF($A20="","",$C20*U20*(IF(OR($H20=0,T20=0),0,T20/(1+$E20)*(1-((1-T20)/(1+$E20))^$H20)/(1-(1-T20)/(1+$E20)))+(1-T20)^$H20*(1-(1-T20)^$I20)/(1+$E20)^$D20))</f>
        <v/>
      </c>
      <c r="X20" s="50" t="str">
        <f aca="false">IF($A20="","",IF($B20=3,$C20*U20,IF($B20=2,W20,V20)))</f>
        <v/>
      </c>
      <c r="Y20" s="50" t="str">
        <f aca="false">IF($A20="","",L20*Assumptions!$C$15+Q20*Assumptions!$C$16+V20*Assumptions!$C$17)</f>
        <v/>
      </c>
      <c r="Z20" s="50" t="str">
        <f aca="false">IF($A20="","",M20*Assumptions!$C$15+R20*Assumptions!$C$16+W20*Assumptions!$C$17)</f>
        <v/>
      </c>
      <c r="AA20" s="50" t="str">
        <f aca="false">IF($A20="","",N20*Assumptions!$C$15+S20*Assumptions!$C$16+X20*Assumptions!$C$17)</f>
        <v/>
      </c>
      <c r="AB20" s="48" t="str">
        <f aca="false">IF($A20="","",IF(C20=0,0,AA20/C20))</f>
        <v/>
      </c>
    </row>
    <row r="21" customFormat="false" ht="15" hidden="false" customHeight="false" outlineLevel="0" collapsed="false">
      <c r="A21" s="40" t="str">
        <f aca="false">IF(Portfolio!A21="","",Portfolio!A21)</f>
        <v/>
      </c>
      <c r="B21" s="41" t="str">
        <f aca="false">IF($A21="","",Portfolio!W21)</f>
        <v/>
      </c>
      <c r="C21" s="42" t="str">
        <f aca="false">IF($A21="","",Portfolio!Q21)</f>
        <v/>
      </c>
      <c r="D21" s="43" t="str">
        <f aca="false">IF($A21="","",Portfolio!R21)</f>
        <v/>
      </c>
      <c r="E21" s="44" t="str">
        <f aca="false">IF($A21="","",Portfolio!H21)</f>
        <v/>
      </c>
      <c r="F21" s="44" t="str">
        <f aca="false">IF($A21="","",Portfolio!X21)</f>
        <v/>
      </c>
      <c r="G21" s="45" t="str">
        <f aca="false">IF($A21="","",Portfolio!Y21)</f>
        <v/>
      </c>
      <c r="H21" s="46" t="str">
        <f aca="false">IF($A21="","",INT(D21))</f>
        <v/>
      </c>
      <c r="I21" s="47" t="str">
        <f aca="false">IF($A21="","",D21-H21)</f>
        <v/>
      </c>
      <c r="J21" s="48" t="str">
        <f aca="false">IF($A21="","",MIN(Assumptions!$C$10,$F21*Assumptions!$D$15))</f>
        <v/>
      </c>
      <c r="K21" s="49" t="str">
        <f aca="false">IF($A21="","",MIN(1,$G21*Assumptions!$E$15))</f>
        <v/>
      </c>
      <c r="L21" s="50" t="str">
        <f aca="false">IF($A21="","",$C21*K21*(1-(1-J21)^MIN(1,$D21))/(1+$E21)^MIN(1,$D21))</f>
        <v/>
      </c>
      <c r="M21" s="50" t="str">
        <f aca="false">IF($A21="","",$C21*K21*(IF(OR($H21=0,J21=0),0,J21/(1+$E21)*(1-((1-J21)/(1+$E21))^$H21)/(1-(1-J21)/(1+$E21)))+(1-J21)^$H21*(1-(1-J21)^$I21)/(1+$E21)^$D21))</f>
        <v/>
      </c>
      <c r="N21" s="50" t="str">
        <f aca="false">IF($A21="","",IF($B21=3,$C21*K21,IF($B21=2,M21,L21)))</f>
        <v/>
      </c>
      <c r="O21" s="48" t="str">
        <f aca="false">IF($A21="","",MIN(Assumptions!$C$10,$F21*Assumptions!$D$16))</f>
        <v/>
      </c>
      <c r="P21" s="49" t="str">
        <f aca="false">IF($A21="","",MIN(1,$G21*Assumptions!$E$16))</f>
        <v/>
      </c>
      <c r="Q21" s="50" t="str">
        <f aca="false">IF($A21="","",$C21*P21*(1-(1-O21)^MIN(1,$D21))/(1+$E21)^MIN(1,$D21))</f>
        <v/>
      </c>
      <c r="R21" s="50" t="str">
        <f aca="false">IF($A21="","",$C21*P21*(IF(OR($H21=0,O21=0),0,O21/(1+$E21)*(1-((1-O21)/(1+$E21))^$H21)/(1-(1-O21)/(1+$E21)))+(1-O21)^$H21*(1-(1-O21)^$I21)/(1+$E21)^$D21))</f>
        <v/>
      </c>
      <c r="S21" s="50" t="str">
        <f aca="false">IF($A21="","",IF($B21=3,$C21*P21,IF($B21=2,R21,Q21)))</f>
        <v/>
      </c>
      <c r="T21" s="48" t="str">
        <f aca="false">IF($A21="","",MIN(Assumptions!$C$10,$F21*Assumptions!$D$17))</f>
        <v/>
      </c>
      <c r="U21" s="49" t="str">
        <f aca="false">IF($A21="","",MIN(1,$G21*Assumptions!$E$17))</f>
        <v/>
      </c>
      <c r="V21" s="50" t="str">
        <f aca="false">IF($A21="","",$C21*U21*(1-(1-T21)^MIN(1,$D21))/(1+$E21)^MIN(1,$D21))</f>
        <v/>
      </c>
      <c r="W21" s="50" t="str">
        <f aca="false">IF($A21="","",$C21*U21*(IF(OR($H21=0,T21=0),0,T21/(1+$E21)*(1-((1-T21)/(1+$E21))^$H21)/(1-(1-T21)/(1+$E21)))+(1-T21)^$H21*(1-(1-T21)^$I21)/(1+$E21)^$D21))</f>
        <v/>
      </c>
      <c r="X21" s="50" t="str">
        <f aca="false">IF($A21="","",IF($B21=3,$C21*U21,IF($B21=2,W21,V21)))</f>
        <v/>
      </c>
      <c r="Y21" s="50" t="str">
        <f aca="false">IF($A21="","",L21*Assumptions!$C$15+Q21*Assumptions!$C$16+V21*Assumptions!$C$17)</f>
        <v/>
      </c>
      <c r="Z21" s="50" t="str">
        <f aca="false">IF($A21="","",M21*Assumptions!$C$15+R21*Assumptions!$C$16+W21*Assumptions!$C$17)</f>
        <v/>
      </c>
      <c r="AA21" s="50" t="str">
        <f aca="false">IF($A21="","",N21*Assumptions!$C$15+S21*Assumptions!$C$16+X21*Assumptions!$C$17)</f>
        <v/>
      </c>
      <c r="AB21" s="48" t="str">
        <f aca="false">IF($A21="","",IF(C21=0,0,AA21/C21))</f>
        <v/>
      </c>
    </row>
    <row r="22" customFormat="false" ht="15" hidden="false" customHeight="false" outlineLevel="0" collapsed="false">
      <c r="A22" s="40" t="str">
        <f aca="false">IF(Portfolio!A22="","",Portfolio!A22)</f>
        <v/>
      </c>
      <c r="B22" s="41" t="str">
        <f aca="false">IF($A22="","",Portfolio!W22)</f>
        <v/>
      </c>
      <c r="C22" s="42" t="str">
        <f aca="false">IF($A22="","",Portfolio!Q22)</f>
        <v/>
      </c>
      <c r="D22" s="43" t="str">
        <f aca="false">IF($A22="","",Portfolio!R22)</f>
        <v/>
      </c>
      <c r="E22" s="44" t="str">
        <f aca="false">IF($A22="","",Portfolio!H22)</f>
        <v/>
      </c>
      <c r="F22" s="44" t="str">
        <f aca="false">IF($A22="","",Portfolio!X22)</f>
        <v/>
      </c>
      <c r="G22" s="45" t="str">
        <f aca="false">IF($A22="","",Portfolio!Y22)</f>
        <v/>
      </c>
      <c r="H22" s="46" t="str">
        <f aca="false">IF($A22="","",INT(D22))</f>
        <v/>
      </c>
      <c r="I22" s="47" t="str">
        <f aca="false">IF($A22="","",D22-H22)</f>
        <v/>
      </c>
      <c r="J22" s="48" t="str">
        <f aca="false">IF($A22="","",MIN(Assumptions!$C$10,$F22*Assumptions!$D$15))</f>
        <v/>
      </c>
      <c r="K22" s="49" t="str">
        <f aca="false">IF($A22="","",MIN(1,$G22*Assumptions!$E$15))</f>
        <v/>
      </c>
      <c r="L22" s="50" t="str">
        <f aca="false">IF($A22="","",$C22*K22*(1-(1-J22)^MIN(1,$D22))/(1+$E22)^MIN(1,$D22))</f>
        <v/>
      </c>
      <c r="M22" s="50" t="str">
        <f aca="false">IF($A22="","",$C22*K22*(IF(OR($H22=0,J22=0),0,J22/(1+$E22)*(1-((1-J22)/(1+$E22))^$H22)/(1-(1-J22)/(1+$E22)))+(1-J22)^$H22*(1-(1-J22)^$I22)/(1+$E22)^$D22))</f>
        <v/>
      </c>
      <c r="N22" s="50" t="str">
        <f aca="false">IF($A22="","",IF($B22=3,$C22*K22,IF($B22=2,M22,L22)))</f>
        <v/>
      </c>
      <c r="O22" s="48" t="str">
        <f aca="false">IF($A22="","",MIN(Assumptions!$C$10,$F22*Assumptions!$D$16))</f>
        <v/>
      </c>
      <c r="P22" s="49" t="str">
        <f aca="false">IF($A22="","",MIN(1,$G22*Assumptions!$E$16))</f>
        <v/>
      </c>
      <c r="Q22" s="50" t="str">
        <f aca="false">IF($A22="","",$C22*P22*(1-(1-O22)^MIN(1,$D22))/(1+$E22)^MIN(1,$D22))</f>
        <v/>
      </c>
      <c r="R22" s="50" t="str">
        <f aca="false">IF($A22="","",$C22*P22*(IF(OR($H22=0,O22=0),0,O22/(1+$E22)*(1-((1-O22)/(1+$E22))^$H22)/(1-(1-O22)/(1+$E22)))+(1-O22)^$H22*(1-(1-O22)^$I22)/(1+$E22)^$D22))</f>
        <v/>
      </c>
      <c r="S22" s="50" t="str">
        <f aca="false">IF($A22="","",IF($B22=3,$C22*P22,IF($B22=2,R22,Q22)))</f>
        <v/>
      </c>
      <c r="T22" s="48" t="str">
        <f aca="false">IF($A22="","",MIN(Assumptions!$C$10,$F22*Assumptions!$D$17))</f>
        <v/>
      </c>
      <c r="U22" s="49" t="str">
        <f aca="false">IF($A22="","",MIN(1,$G22*Assumptions!$E$17))</f>
        <v/>
      </c>
      <c r="V22" s="50" t="str">
        <f aca="false">IF($A22="","",$C22*U22*(1-(1-T22)^MIN(1,$D22))/(1+$E22)^MIN(1,$D22))</f>
        <v/>
      </c>
      <c r="W22" s="50" t="str">
        <f aca="false">IF($A22="","",$C22*U22*(IF(OR($H22=0,T22=0),0,T22/(1+$E22)*(1-((1-T22)/(1+$E22))^$H22)/(1-(1-T22)/(1+$E22)))+(1-T22)^$H22*(1-(1-T22)^$I22)/(1+$E22)^$D22))</f>
        <v/>
      </c>
      <c r="X22" s="50" t="str">
        <f aca="false">IF($A22="","",IF($B22=3,$C22*U22,IF($B22=2,W22,V22)))</f>
        <v/>
      </c>
      <c r="Y22" s="50" t="str">
        <f aca="false">IF($A22="","",L22*Assumptions!$C$15+Q22*Assumptions!$C$16+V22*Assumptions!$C$17)</f>
        <v/>
      </c>
      <c r="Z22" s="50" t="str">
        <f aca="false">IF($A22="","",M22*Assumptions!$C$15+R22*Assumptions!$C$16+W22*Assumptions!$C$17)</f>
        <v/>
      </c>
      <c r="AA22" s="50" t="str">
        <f aca="false">IF($A22="","",N22*Assumptions!$C$15+S22*Assumptions!$C$16+X22*Assumptions!$C$17)</f>
        <v/>
      </c>
      <c r="AB22" s="48" t="str">
        <f aca="false">IF($A22="","",IF(C22=0,0,AA22/C22))</f>
        <v/>
      </c>
    </row>
    <row r="23" customFormat="false" ht="15" hidden="false" customHeight="false" outlineLevel="0" collapsed="false">
      <c r="A23" s="40" t="str">
        <f aca="false">IF(Portfolio!A23="","",Portfolio!A23)</f>
        <v/>
      </c>
      <c r="B23" s="41" t="str">
        <f aca="false">IF($A23="","",Portfolio!W23)</f>
        <v/>
      </c>
      <c r="C23" s="42" t="str">
        <f aca="false">IF($A23="","",Portfolio!Q23)</f>
        <v/>
      </c>
      <c r="D23" s="43" t="str">
        <f aca="false">IF($A23="","",Portfolio!R23)</f>
        <v/>
      </c>
      <c r="E23" s="44" t="str">
        <f aca="false">IF($A23="","",Portfolio!H23)</f>
        <v/>
      </c>
      <c r="F23" s="44" t="str">
        <f aca="false">IF($A23="","",Portfolio!X23)</f>
        <v/>
      </c>
      <c r="G23" s="45" t="str">
        <f aca="false">IF($A23="","",Portfolio!Y23)</f>
        <v/>
      </c>
      <c r="H23" s="46" t="str">
        <f aca="false">IF($A23="","",INT(D23))</f>
        <v/>
      </c>
      <c r="I23" s="47" t="str">
        <f aca="false">IF($A23="","",D23-H23)</f>
        <v/>
      </c>
      <c r="J23" s="48" t="str">
        <f aca="false">IF($A23="","",MIN(Assumptions!$C$10,$F23*Assumptions!$D$15))</f>
        <v/>
      </c>
      <c r="K23" s="49" t="str">
        <f aca="false">IF($A23="","",MIN(1,$G23*Assumptions!$E$15))</f>
        <v/>
      </c>
      <c r="L23" s="50" t="str">
        <f aca="false">IF($A23="","",$C23*K23*(1-(1-J23)^MIN(1,$D23))/(1+$E23)^MIN(1,$D23))</f>
        <v/>
      </c>
      <c r="M23" s="50" t="str">
        <f aca="false">IF($A23="","",$C23*K23*(IF(OR($H23=0,J23=0),0,J23/(1+$E23)*(1-((1-J23)/(1+$E23))^$H23)/(1-(1-J23)/(1+$E23)))+(1-J23)^$H23*(1-(1-J23)^$I23)/(1+$E23)^$D23))</f>
        <v/>
      </c>
      <c r="N23" s="50" t="str">
        <f aca="false">IF($A23="","",IF($B23=3,$C23*K23,IF($B23=2,M23,L23)))</f>
        <v/>
      </c>
      <c r="O23" s="48" t="str">
        <f aca="false">IF($A23="","",MIN(Assumptions!$C$10,$F23*Assumptions!$D$16))</f>
        <v/>
      </c>
      <c r="P23" s="49" t="str">
        <f aca="false">IF($A23="","",MIN(1,$G23*Assumptions!$E$16))</f>
        <v/>
      </c>
      <c r="Q23" s="50" t="str">
        <f aca="false">IF($A23="","",$C23*P23*(1-(1-O23)^MIN(1,$D23))/(1+$E23)^MIN(1,$D23))</f>
        <v/>
      </c>
      <c r="R23" s="50" t="str">
        <f aca="false">IF($A23="","",$C23*P23*(IF(OR($H23=0,O23=0),0,O23/(1+$E23)*(1-((1-O23)/(1+$E23))^$H23)/(1-(1-O23)/(1+$E23)))+(1-O23)^$H23*(1-(1-O23)^$I23)/(1+$E23)^$D23))</f>
        <v/>
      </c>
      <c r="S23" s="50" t="str">
        <f aca="false">IF($A23="","",IF($B23=3,$C23*P23,IF($B23=2,R23,Q23)))</f>
        <v/>
      </c>
      <c r="T23" s="48" t="str">
        <f aca="false">IF($A23="","",MIN(Assumptions!$C$10,$F23*Assumptions!$D$17))</f>
        <v/>
      </c>
      <c r="U23" s="49" t="str">
        <f aca="false">IF($A23="","",MIN(1,$G23*Assumptions!$E$17))</f>
        <v/>
      </c>
      <c r="V23" s="50" t="str">
        <f aca="false">IF($A23="","",$C23*U23*(1-(1-T23)^MIN(1,$D23))/(1+$E23)^MIN(1,$D23))</f>
        <v/>
      </c>
      <c r="W23" s="50" t="str">
        <f aca="false">IF($A23="","",$C23*U23*(IF(OR($H23=0,T23=0),0,T23/(1+$E23)*(1-((1-T23)/(1+$E23))^$H23)/(1-(1-T23)/(1+$E23)))+(1-T23)^$H23*(1-(1-T23)^$I23)/(1+$E23)^$D23))</f>
        <v/>
      </c>
      <c r="X23" s="50" t="str">
        <f aca="false">IF($A23="","",IF($B23=3,$C23*U23,IF($B23=2,W23,V23)))</f>
        <v/>
      </c>
      <c r="Y23" s="50" t="str">
        <f aca="false">IF($A23="","",L23*Assumptions!$C$15+Q23*Assumptions!$C$16+V23*Assumptions!$C$17)</f>
        <v/>
      </c>
      <c r="Z23" s="50" t="str">
        <f aca="false">IF($A23="","",M23*Assumptions!$C$15+R23*Assumptions!$C$16+W23*Assumptions!$C$17)</f>
        <v/>
      </c>
      <c r="AA23" s="50" t="str">
        <f aca="false">IF($A23="","",N23*Assumptions!$C$15+S23*Assumptions!$C$16+X23*Assumptions!$C$17)</f>
        <v/>
      </c>
      <c r="AB23" s="48" t="str">
        <f aca="false">IF($A23="","",IF(C23=0,0,AA23/C23))</f>
        <v/>
      </c>
    </row>
    <row r="24" customFormat="false" ht="15" hidden="false" customHeight="false" outlineLevel="0" collapsed="false">
      <c r="A24" s="40" t="str">
        <f aca="false">IF(Portfolio!A24="","",Portfolio!A24)</f>
        <v/>
      </c>
      <c r="B24" s="41" t="str">
        <f aca="false">IF($A24="","",Portfolio!W24)</f>
        <v/>
      </c>
      <c r="C24" s="42" t="str">
        <f aca="false">IF($A24="","",Portfolio!Q24)</f>
        <v/>
      </c>
      <c r="D24" s="43" t="str">
        <f aca="false">IF($A24="","",Portfolio!R24)</f>
        <v/>
      </c>
      <c r="E24" s="44" t="str">
        <f aca="false">IF($A24="","",Portfolio!H24)</f>
        <v/>
      </c>
      <c r="F24" s="44" t="str">
        <f aca="false">IF($A24="","",Portfolio!X24)</f>
        <v/>
      </c>
      <c r="G24" s="45" t="str">
        <f aca="false">IF($A24="","",Portfolio!Y24)</f>
        <v/>
      </c>
      <c r="H24" s="46" t="str">
        <f aca="false">IF($A24="","",INT(D24))</f>
        <v/>
      </c>
      <c r="I24" s="47" t="str">
        <f aca="false">IF($A24="","",D24-H24)</f>
        <v/>
      </c>
      <c r="J24" s="48" t="str">
        <f aca="false">IF($A24="","",MIN(Assumptions!$C$10,$F24*Assumptions!$D$15))</f>
        <v/>
      </c>
      <c r="K24" s="49" t="str">
        <f aca="false">IF($A24="","",MIN(1,$G24*Assumptions!$E$15))</f>
        <v/>
      </c>
      <c r="L24" s="50" t="str">
        <f aca="false">IF($A24="","",$C24*K24*(1-(1-J24)^MIN(1,$D24))/(1+$E24)^MIN(1,$D24))</f>
        <v/>
      </c>
      <c r="M24" s="50" t="str">
        <f aca="false">IF($A24="","",$C24*K24*(IF(OR($H24=0,J24=0),0,J24/(1+$E24)*(1-((1-J24)/(1+$E24))^$H24)/(1-(1-J24)/(1+$E24)))+(1-J24)^$H24*(1-(1-J24)^$I24)/(1+$E24)^$D24))</f>
        <v/>
      </c>
      <c r="N24" s="50" t="str">
        <f aca="false">IF($A24="","",IF($B24=3,$C24*K24,IF($B24=2,M24,L24)))</f>
        <v/>
      </c>
      <c r="O24" s="48" t="str">
        <f aca="false">IF($A24="","",MIN(Assumptions!$C$10,$F24*Assumptions!$D$16))</f>
        <v/>
      </c>
      <c r="P24" s="49" t="str">
        <f aca="false">IF($A24="","",MIN(1,$G24*Assumptions!$E$16))</f>
        <v/>
      </c>
      <c r="Q24" s="50" t="str">
        <f aca="false">IF($A24="","",$C24*P24*(1-(1-O24)^MIN(1,$D24))/(1+$E24)^MIN(1,$D24))</f>
        <v/>
      </c>
      <c r="R24" s="50" t="str">
        <f aca="false">IF($A24="","",$C24*P24*(IF(OR($H24=0,O24=0),0,O24/(1+$E24)*(1-((1-O24)/(1+$E24))^$H24)/(1-(1-O24)/(1+$E24)))+(1-O24)^$H24*(1-(1-O24)^$I24)/(1+$E24)^$D24))</f>
        <v/>
      </c>
      <c r="S24" s="50" t="str">
        <f aca="false">IF($A24="","",IF($B24=3,$C24*P24,IF($B24=2,R24,Q24)))</f>
        <v/>
      </c>
      <c r="T24" s="48" t="str">
        <f aca="false">IF($A24="","",MIN(Assumptions!$C$10,$F24*Assumptions!$D$17))</f>
        <v/>
      </c>
      <c r="U24" s="49" t="str">
        <f aca="false">IF($A24="","",MIN(1,$G24*Assumptions!$E$17))</f>
        <v/>
      </c>
      <c r="V24" s="50" t="str">
        <f aca="false">IF($A24="","",$C24*U24*(1-(1-T24)^MIN(1,$D24))/(1+$E24)^MIN(1,$D24))</f>
        <v/>
      </c>
      <c r="W24" s="50" t="str">
        <f aca="false">IF($A24="","",$C24*U24*(IF(OR($H24=0,T24=0),0,T24/(1+$E24)*(1-((1-T24)/(1+$E24))^$H24)/(1-(1-T24)/(1+$E24)))+(1-T24)^$H24*(1-(1-T24)^$I24)/(1+$E24)^$D24))</f>
        <v/>
      </c>
      <c r="X24" s="50" t="str">
        <f aca="false">IF($A24="","",IF($B24=3,$C24*U24,IF($B24=2,W24,V24)))</f>
        <v/>
      </c>
      <c r="Y24" s="50" t="str">
        <f aca="false">IF($A24="","",L24*Assumptions!$C$15+Q24*Assumptions!$C$16+V24*Assumptions!$C$17)</f>
        <v/>
      </c>
      <c r="Z24" s="50" t="str">
        <f aca="false">IF($A24="","",M24*Assumptions!$C$15+R24*Assumptions!$C$16+W24*Assumptions!$C$17)</f>
        <v/>
      </c>
      <c r="AA24" s="50" t="str">
        <f aca="false">IF($A24="","",N24*Assumptions!$C$15+S24*Assumptions!$C$16+X24*Assumptions!$C$17)</f>
        <v/>
      </c>
      <c r="AB24" s="48" t="str">
        <f aca="false">IF($A24="","",IF(C24=0,0,AA24/C24))</f>
        <v/>
      </c>
    </row>
    <row r="25" customFormat="false" ht="15" hidden="false" customHeight="false" outlineLevel="0" collapsed="false">
      <c r="A25" s="40" t="str">
        <f aca="false">IF(Portfolio!A25="","",Portfolio!A25)</f>
        <v/>
      </c>
      <c r="B25" s="41" t="str">
        <f aca="false">IF($A25="","",Portfolio!W25)</f>
        <v/>
      </c>
      <c r="C25" s="42" t="str">
        <f aca="false">IF($A25="","",Portfolio!Q25)</f>
        <v/>
      </c>
      <c r="D25" s="43" t="str">
        <f aca="false">IF($A25="","",Portfolio!R25)</f>
        <v/>
      </c>
      <c r="E25" s="44" t="str">
        <f aca="false">IF($A25="","",Portfolio!H25)</f>
        <v/>
      </c>
      <c r="F25" s="44" t="str">
        <f aca="false">IF($A25="","",Portfolio!X25)</f>
        <v/>
      </c>
      <c r="G25" s="45" t="str">
        <f aca="false">IF($A25="","",Portfolio!Y25)</f>
        <v/>
      </c>
      <c r="H25" s="46" t="str">
        <f aca="false">IF($A25="","",INT(D25))</f>
        <v/>
      </c>
      <c r="I25" s="47" t="str">
        <f aca="false">IF($A25="","",D25-H25)</f>
        <v/>
      </c>
      <c r="J25" s="48" t="str">
        <f aca="false">IF($A25="","",MIN(Assumptions!$C$10,$F25*Assumptions!$D$15))</f>
        <v/>
      </c>
      <c r="K25" s="49" t="str">
        <f aca="false">IF($A25="","",MIN(1,$G25*Assumptions!$E$15))</f>
        <v/>
      </c>
      <c r="L25" s="50" t="str">
        <f aca="false">IF($A25="","",$C25*K25*(1-(1-J25)^MIN(1,$D25))/(1+$E25)^MIN(1,$D25))</f>
        <v/>
      </c>
      <c r="M25" s="50" t="str">
        <f aca="false">IF($A25="","",$C25*K25*(IF(OR($H25=0,J25=0),0,J25/(1+$E25)*(1-((1-J25)/(1+$E25))^$H25)/(1-(1-J25)/(1+$E25)))+(1-J25)^$H25*(1-(1-J25)^$I25)/(1+$E25)^$D25))</f>
        <v/>
      </c>
      <c r="N25" s="50" t="str">
        <f aca="false">IF($A25="","",IF($B25=3,$C25*K25,IF($B25=2,M25,L25)))</f>
        <v/>
      </c>
      <c r="O25" s="48" t="str">
        <f aca="false">IF($A25="","",MIN(Assumptions!$C$10,$F25*Assumptions!$D$16))</f>
        <v/>
      </c>
      <c r="P25" s="49" t="str">
        <f aca="false">IF($A25="","",MIN(1,$G25*Assumptions!$E$16))</f>
        <v/>
      </c>
      <c r="Q25" s="50" t="str">
        <f aca="false">IF($A25="","",$C25*P25*(1-(1-O25)^MIN(1,$D25))/(1+$E25)^MIN(1,$D25))</f>
        <v/>
      </c>
      <c r="R25" s="50" t="str">
        <f aca="false">IF($A25="","",$C25*P25*(IF(OR($H25=0,O25=0),0,O25/(1+$E25)*(1-((1-O25)/(1+$E25))^$H25)/(1-(1-O25)/(1+$E25)))+(1-O25)^$H25*(1-(1-O25)^$I25)/(1+$E25)^$D25))</f>
        <v/>
      </c>
      <c r="S25" s="50" t="str">
        <f aca="false">IF($A25="","",IF($B25=3,$C25*P25,IF($B25=2,R25,Q25)))</f>
        <v/>
      </c>
      <c r="T25" s="48" t="str">
        <f aca="false">IF($A25="","",MIN(Assumptions!$C$10,$F25*Assumptions!$D$17))</f>
        <v/>
      </c>
      <c r="U25" s="49" t="str">
        <f aca="false">IF($A25="","",MIN(1,$G25*Assumptions!$E$17))</f>
        <v/>
      </c>
      <c r="V25" s="50" t="str">
        <f aca="false">IF($A25="","",$C25*U25*(1-(1-T25)^MIN(1,$D25))/(1+$E25)^MIN(1,$D25))</f>
        <v/>
      </c>
      <c r="W25" s="50" t="str">
        <f aca="false">IF($A25="","",$C25*U25*(IF(OR($H25=0,T25=0),0,T25/(1+$E25)*(1-((1-T25)/(1+$E25))^$H25)/(1-(1-T25)/(1+$E25)))+(1-T25)^$H25*(1-(1-T25)^$I25)/(1+$E25)^$D25))</f>
        <v/>
      </c>
      <c r="X25" s="50" t="str">
        <f aca="false">IF($A25="","",IF($B25=3,$C25*U25,IF($B25=2,W25,V25)))</f>
        <v/>
      </c>
      <c r="Y25" s="50" t="str">
        <f aca="false">IF($A25="","",L25*Assumptions!$C$15+Q25*Assumptions!$C$16+V25*Assumptions!$C$17)</f>
        <v/>
      </c>
      <c r="Z25" s="50" t="str">
        <f aca="false">IF($A25="","",M25*Assumptions!$C$15+R25*Assumptions!$C$16+W25*Assumptions!$C$17)</f>
        <v/>
      </c>
      <c r="AA25" s="50" t="str">
        <f aca="false">IF($A25="","",N25*Assumptions!$C$15+S25*Assumptions!$C$16+X25*Assumptions!$C$17)</f>
        <v/>
      </c>
      <c r="AB25" s="48" t="str">
        <f aca="false">IF($A25="","",IF(C25=0,0,AA25/C25))</f>
        <v/>
      </c>
    </row>
    <row r="26" customFormat="false" ht="15" hidden="false" customHeight="false" outlineLevel="0" collapsed="false">
      <c r="A26" s="40" t="str">
        <f aca="false">IF(Portfolio!A26="","",Portfolio!A26)</f>
        <v/>
      </c>
      <c r="B26" s="41" t="str">
        <f aca="false">IF($A26="","",Portfolio!W26)</f>
        <v/>
      </c>
      <c r="C26" s="42" t="str">
        <f aca="false">IF($A26="","",Portfolio!Q26)</f>
        <v/>
      </c>
      <c r="D26" s="43" t="str">
        <f aca="false">IF($A26="","",Portfolio!R26)</f>
        <v/>
      </c>
      <c r="E26" s="44" t="str">
        <f aca="false">IF($A26="","",Portfolio!H26)</f>
        <v/>
      </c>
      <c r="F26" s="44" t="str">
        <f aca="false">IF($A26="","",Portfolio!X26)</f>
        <v/>
      </c>
      <c r="G26" s="45" t="str">
        <f aca="false">IF($A26="","",Portfolio!Y26)</f>
        <v/>
      </c>
      <c r="H26" s="46" t="str">
        <f aca="false">IF($A26="","",INT(D26))</f>
        <v/>
      </c>
      <c r="I26" s="47" t="str">
        <f aca="false">IF($A26="","",D26-H26)</f>
        <v/>
      </c>
      <c r="J26" s="48" t="str">
        <f aca="false">IF($A26="","",MIN(Assumptions!$C$10,$F26*Assumptions!$D$15))</f>
        <v/>
      </c>
      <c r="K26" s="49" t="str">
        <f aca="false">IF($A26="","",MIN(1,$G26*Assumptions!$E$15))</f>
        <v/>
      </c>
      <c r="L26" s="50" t="str">
        <f aca="false">IF($A26="","",$C26*K26*(1-(1-J26)^MIN(1,$D26))/(1+$E26)^MIN(1,$D26))</f>
        <v/>
      </c>
      <c r="M26" s="50" t="str">
        <f aca="false">IF($A26="","",$C26*K26*(IF(OR($H26=0,J26=0),0,J26/(1+$E26)*(1-((1-J26)/(1+$E26))^$H26)/(1-(1-J26)/(1+$E26)))+(1-J26)^$H26*(1-(1-J26)^$I26)/(1+$E26)^$D26))</f>
        <v/>
      </c>
      <c r="N26" s="50" t="str">
        <f aca="false">IF($A26="","",IF($B26=3,$C26*K26,IF($B26=2,M26,L26)))</f>
        <v/>
      </c>
      <c r="O26" s="48" t="str">
        <f aca="false">IF($A26="","",MIN(Assumptions!$C$10,$F26*Assumptions!$D$16))</f>
        <v/>
      </c>
      <c r="P26" s="49" t="str">
        <f aca="false">IF($A26="","",MIN(1,$G26*Assumptions!$E$16))</f>
        <v/>
      </c>
      <c r="Q26" s="50" t="str">
        <f aca="false">IF($A26="","",$C26*P26*(1-(1-O26)^MIN(1,$D26))/(1+$E26)^MIN(1,$D26))</f>
        <v/>
      </c>
      <c r="R26" s="50" t="str">
        <f aca="false">IF($A26="","",$C26*P26*(IF(OR($H26=0,O26=0),0,O26/(1+$E26)*(1-((1-O26)/(1+$E26))^$H26)/(1-(1-O26)/(1+$E26)))+(1-O26)^$H26*(1-(1-O26)^$I26)/(1+$E26)^$D26))</f>
        <v/>
      </c>
      <c r="S26" s="50" t="str">
        <f aca="false">IF($A26="","",IF($B26=3,$C26*P26,IF($B26=2,R26,Q26)))</f>
        <v/>
      </c>
      <c r="T26" s="48" t="str">
        <f aca="false">IF($A26="","",MIN(Assumptions!$C$10,$F26*Assumptions!$D$17))</f>
        <v/>
      </c>
      <c r="U26" s="49" t="str">
        <f aca="false">IF($A26="","",MIN(1,$G26*Assumptions!$E$17))</f>
        <v/>
      </c>
      <c r="V26" s="50" t="str">
        <f aca="false">IF($A26="","",$C26*U26*(1-(1-T26)^MIN(1,$D26))/(1+$E26)^MIN(1,$D26))</f>
        <v/>
      </c>
      <c r="W26" s="50" t="str">
        <f aca="false">IF($A26="","",$C26*U26*(IF(OR($H26=0,T26=0),0,T26/(1+$E26)*(1-((1-T26)/(1+$E26))^$H26)/(1-(1-T26)/(1+$E26)))+(1-T26)^$H26*(1-(1-T26)^$I26)/(1+$E26)^$D26))</f>
        <v/>
      </c>
      <c r="X26" s="50" t="str">
        <f aca="false">IF($A26="","",IF($B26=3,$C26*U26,IF($B26=2,W26,V26)))</f>
        <v/>
      </c>
      <c r="Y26" s="50" t="str">
        <f aca="false">IF($A26="","",L26*Assumptions!$C$15+Q26*Assumptions!$C$16+V26*Assumptions!$C$17)</f>
        <v/>
      </c>
      <c r="Z26" s="50" t="str">
        <f aca="false">IF($A26="","",M26*Assumptions!$C$15+R26*Assumptions!$C$16+W26*Assumptions!$C$17)</f>
        <v/>
      </c>
      <c r="AA26" s="50" t="str">
        <f aca="false">IF($A26="","",N26*Assumptions!$C$15+S26*Assumptions!$C$16+X26*Assumptions!$C$17)</f>
        <v/>
      </c>
      <c r="AB26" s="48" t="str">
        <f aca="false">IF($A26="","",IF(C26=0,0,AA26/C26))</f>
        <v/>
      </c>
    </row>
    <row r="27" customFormat="false" ht="15" hidden="false" customHeight="false" outlineLevel="0" collapsed="false">
      <c r="A27" s="40" t="str">
        <f aca="false">IF(Portfolio!A27="","",Portfolio!A27)</f>
        <v/>
      </c>
      <c r="B27" s="41" t="str">
        <f aca="false">IF($A27="","",Portfolio!W27)</f>
        <v/>
      </c>
      <c r="C27" s="42" t="str">
        <f aca="false">IF($A27="","",Portfolio!Q27)</f>
        <v/>
      </c>
      <c r="D27" s="43" t="str">
        <f aca="false">IF($A27="","",Portfolio!R27)</f>
        <v/>
      </c>
      <c r="E27" s="44" t="str">
        <f aca="false">IF($A27="","",Portfolio!H27)</f>
        <v/>
      </c>
      <c r="F27" s="44" t="str">
        <f aca="false">IF($A27="","",Portfolio!X27)</f>
        <v/>
      </c>
      <c r="G27" s="45" t="str">
        <f aca="false">IF($A27="","",Portfolio!Y27)</f>
        <v/>
      </c>
      <c r="H27" s="46" t="str">
        <f aca="false">IF($A27="","",INT(D27))</f>
        <v/>
      </c>
      <c r="I27" s="47" t="str">
        <f aca="false">IF($A27="","",D27-H27)</f>
        <v/>
      </c>
      <c r="J27" s="48" t="str">
        <f aca="false">IF($A27="","",MIN(Assumptions!$C$10,$F27*Assumptions!$D$15))</f>
        <v/>
      </c>
      <c r="K27" s="49" t="str">
        <f aca="false">IF($A27="","",MIN(1,$G27*Assumptions!$E$15))</f>
        <v/>
      </c>
      <c r="L27" s="50" t="str">
        <f aca="false">IF($A27="","",$C27*K27*(1-(1-J27)^MIN(1,$D27))/(1+$E27)^MIN(1,$D27))</f>
        <v/>
      </c>
      <c r="M27" s="50" t="str">
        <f aca="false">IF($A27="","",$C27*K27*(IF(OR($H27=0,J27=0),0,J27/(1+$E27)*(1-((1-J27)/(1+$E27))^$H27)/(1-(1-J27)/(1+$E27)))+(1-J27)^$H27*(1-(1-J27)^$I27)/(1+$E27)^$D27))</f>
        <v/>
      </c>
      <c r="N27" s="50" t="str">
        <f aca="false">IF($A27="","",IF($B27=3,$C27*K27,IF($B27=2,M27,L27)))</f>
        <v/>
      </c>
      <c r="O27" s="48" t="str">
        <f aca="false">IF($A27="","",MIN(Assumptions!$C$10,$F27*Assumptions!$D$16))</f>
        <v/>
      </c>
      <c r="P27" s="49" t="str">
        <f aca="false">IF($A27="","",MIN(1,$G27*Assumptions!$E$16))</f>
        <v/>
      </c>
      <c r="Q27" s="50" t="str">
        <f aca="false">IF($A27="","",$C27*P27*(1-(1-O27)^MIN(1,$D27))/(1+$E27)^MIN(1,$D27))</f>
        <v/>
      </c>
      <c r="R27" s="50" t="str">
        <f aca="false">IF($A27="","",$C27*P27*(IF(OR($H27=0,O27=0),0,O27/(1+$E27)*(1-((1-O27)/(1+$E27))^$H27)/(1-(1-O27)/(1+$E27)))+(1-O27)^$H27*(1-(1-O27)^$I27)/(1+$E27)^$D27))</f>
        <v/>
      </c>
      <c r="S27" s="50" t="str">
        <f aca="false">IF($A27="","",IF($B27=3,$C27*P27,IF($B27=2,R27,Q27)))</f>
        <v/>
      </c>
      <c r="T27" s="48" t="str">
        <f aca="false">IF($A27="","",MIN(Assumptions!$C$10,$F27*Assumptions!$D$17))</f>
        <v/>
      </c>
      <c r="U27" s="49" t="str">
        <f aca="false">IF($A27="","",MIN(1,$G27*Assumptions!$E$17))</f>
        <v/>
      </c>
      <c r="V27" s="50" t="str">
        <f aca="false">IF($A27="","",$C27*U27*(1-(1-T27)^MIN(1,$D27))/(1+$E27)^MIN(1,$D27))</f>
        <v/>
      </c>
      <c r="W27" s="50" t="str">
        <f aca="false">IF($A27="","",$C27*U27*(IF(OR($H27=0,T27=0),0,T27/(1+$E27)*(1-((1-T27)/(1+$E27))^$H27)/(1-(1-T27)/(1+$E27)))+(1-T27)^$H27*(1-(1-T27)^$I27)/(1+$E27)^$D27))</f>
        <v/>
      </c>
      <c r="X27" s="50" t="str">
        <f aca="false">IF($A27="","",IF($B27=3,$C27*U27,IF($B27=2,W27,V27)))</f>
        <v/>
      </c>
      <c r="Y27" s="50" t="str">
        <f aca="false">IF($A27="","",L27*Assumptions!$C$15+Q27*Assumptions!$C$16+V27*Assumptions!$C$17)</f>
        <v/>
      </c>
      <c r="Z27" s="50" t="str">
        <f aca="false">IF($A27="","",M27*Assumptions!$C$15+R27*Assumptions!$C$16+W27*Assumptions!$C$17)</f>
        <v/>
      </c>
      <c r="AA27" s="50" t="str">
        <f aca="false">IF($A27="","",N27*Assumptions!$C$15+S27*Assumptions!$C$16+X27*Assumptions!$C$17)</f>
        <v/>
      </c>
      <c r="AB27" s="48" t="str">
        <f aca="false">IF($A27="","",IF(C27=0,0,AA27/C27))</f>
        <v/>
      </c>
    </row>
    <row r="28" customFormat="false" ht="15" hidden="false" customHeight="false" outlineLevel="0" collapsed="false">
      <c r="A28" s="40" t="str">
        <f aca="false">IF(Portfolio!A28="","",Portfolio!A28)</f>
        <v/>
      </c>
      <c r="B28" s="41" t="str">
        <f aca="false">IF($A28="","",Portfolio!W28)</f>
        <v/>
      </c>
      <c r="C28" s="42" t="str">
        <f aca="false">IF($A28="","",Portfolio!Q28)</f>
        <v/>
      </c>
      <c r="D28" s="43" t="str">
        <f aca="false">IF($A28="","",Portfolio!R28)</f>
        <v/>
      </c>
      <c r="E28" s="44" t="str">
        <f aca="false">IF($A28="","",Portfolio!H28)</f>
        <v/>
      </c>
      <c r="F28" s="44" t="str">
        <f aca="false">IF($A28="","",Portfolio!X28)</f>
        <v/>
      </c>
      <c r="G28" s="45" t="str">
        <f aca="false">IF($A28="","",Portfolio!Y28)</f>
        <v/>
      </c>
      <c r="H28" s="46" t="str">
        <f aca="false">IF($A28="","",INT(D28))</f>
        <v/>
      </c>
      <c r="I28" s="47" t="str">
        <f aca="false">IF($A28="","",D28-H28)</f>
        <v/>
      </c>
      <c r="J28" s="48" t="str">
        <f aca="false">IF($A28="","",MIN(Assumptions!$C$10,$F28*Assumptions!$D$15))</f>
        <v/>
      </c>
      <c r="K28" s="49" t="str">
        <f aca="false">IF($A28="","",MIN(1,$G28*Assumptions!$E$15))</f>
        <v/>
      </c>
      <c r="L28" s="50" t="str">
        <f aca="false">IF($A28="","",$C28*K28*(1-(1-J28)^MIN(1,$D28))/(1+$E28)^MIN(1,$D28))</f>
        <v/>
      </c>
      <c r="M28" s="50" t="str">
        <f aca="false">IF($A28="","",$C28*K28*(IF(OR($H28=0,J28=0),0,J28/(1+$E28)*(1-((1-J28)/(1+$E28))^$H28)/(1-(1-J28)/(1+$E28)))+(1-J28)^$H28*(1-(1-J28)^$I28)/(1+$E28)^$D28))</f>
        <v/>
      </c>
      <c r="N28" s="50" t="str">
        <f aca="false">IF($A28="","",IF($B28=3,$C28*K28,IF($B28=2,M28,L28)))</f>
        <v/>
      </c>
      <c r="O28" s="48" t="str">
        <f aca="false">IF($A28="","",MIN(Assumptions!$C$10,$F28*Assumptions!$D$16))</f>
        <v/>
      </c>
      <c r="P28" s="49" t="str">
        <f aca="false">IF($A28="","",MIN(1,$G28*Assumptions!$E$16))</f>
        <v/>
      </c>
      <c r="Q28" s="50" t="str">
        <f aca="false">IF($A28="","",$C28*P28*(1-(1-O28)^MIN(1,$D28))/(1+$E28)^MIN(1,$D28))</f>
        <v/>
      </c>
      <c r="R28" s="50" t="str">
        <f aca="false">IF($A28="","",$C28*P28*(IF(OR($H28=0,O28=0),0,O28/(1+$E28)*(1-((1-O28)/(1+$E28))^$H28)/(1-(1-O28)/(1+$E28)))+(1-O28)^$H28*(1-(1-O28)^$I28)/(1+$E28)^$D28))</f>
        <v/>
      </c>
      <c r="S28" s="50" t="str">
        <f aca="false">IF($A28="","",IF($B28=3,$C28*P28,IF($B28=2,R28,Q28)))</f>
        <v/>
      </c>
      <c r="T28" s="48" t="str">
        <f aca="false">IF($A28="","",MIN(Assumptions!$C$10,$F28*Assumptions!$D$17))</f>
        <v/>
      </c>
      <c r="U28" s="49" t="str">
        <f aca="false">IF($A28="","",MIN(1,$G28*Assumptions!$E$17))</f>
        <v/>
      </c>
      <c r="V28" s="50" t="str">
        <f aca="false">IF($A28="","",$C28*U28*(1-(1-T28)^MIN(1,$D28))/(1+$E28)^MIN(1,$D28))</f>
        <v/>
      </c>
      <c r="W28" s="50" t="str">
        <f aca="false">IF($A28="","",$C28*U28*(IF(OR($H28=0,T28=0),0,T28/(1+$E28)*(1-((1-T28)/(1+$E28))^$H28)/(1-(1-T28)/(1+$E28)))+(1-T28)^$H28*(1-(1-T28)^$I28)/(1+$E28)^$D28))</f>
        <v/>
      </c>
      <c r="X28" s="50" t="str">
        <f aca="false">IF($A28="","",IF($B28=3,$C28*U28,IF($B28=2,W28,V28)))</f>
        <v/>
      </c>
      <c r="Y28" s="50" t="str">
        <f aca="false">IF($A28="","",L28*Assumptions!$C$15+Q28*Assumptions!$C$16+V28*Assumptions!$C$17)</f>
        <v/>
      </c>
      <c r="Z28" s="50" t="str">
        <f aca="false">IF($A28="","",M28*Assumptions!$C$15+R28*Assumptions!$C$16+W28*Assumptions!$C$17)</f>
        <v/>
      </c>
      <c r="AA28" s="50" t="str">
        <f aca="false">IF($A28="","",N28*Assumptions!$C$15+S28*Assumptions!$C$16+X28*Assumptions!$C$17)</f>
        <v/>
      </c>
      <c r="AB28" s="48" t="str">
        <f aca="false">IF($A28="","",IF(C28=0,0,AA28/C28))</f>
        <v/>
      </c>
    </row>
    <row r="29" customFormat="false" ht="15" hidden="false" customHeight="false" outlineLevel="0" collapsed="false">
      <c r="A29" s="40" t="str">
        <f aca="false">IF(Portfolio!A29="","",Portfolio!A29)</f>
        <v/>
      </c>
      <c r="B29" s="41" t="str">
        <f aca="false">IF($A29="","",Portfolio!W29)</f>
        <v/>
      </c>
      <c r="C29" s="42" t="str">
        <f aca="false">IF($A29="","",Portfolio!Q29)</f>
        <v/>
      </c>
      <c r="D29" s="43" t="str">
        <f aca="false">IF($A29="","",Portfolio!R29)</f>
        <v/>
      </c>
      <c r="E29" s="44" t="str">
        <f aca="false">IF($A29="","",Portfolio!H29)</f>
        <v/>
      </c>
      <c r="F29" s="44" t="str">
        <f aca="false">IF($A29="","",Portfolio!X29)</f>
        <v/>
      </c>
      <c r="G29" s="45" t="str">
        <f aca="false">IF($A29="","",Portfolio!Y29)</f>
        <v/>
      </c>
      <c r="H29" s="46" t="str">
        <f aca="false">IF($A29="","",INT(D29))</f>
        <v/>
      </c>
      <c r="I29" s="47" t="str">
        <f aca="false">IF($A29="","",D29-H29)</f>
        <v/>
      </c>
      <c r="J29" s="48" t="str">
        <f aca="false">IF($A29="","",MIN(Assumptions!$C$10,$F29*Assumptions!$D$15))</f>
        <v/>
      </c>
      <c r="K29" s="49" t="str">
        <f aca="false">IF($A29="","",MIN(1,$G29*Assumptions!$E$15))</f>
        <v/>
      </c>
      <c r="L29" s="50" t="str">
        <f aca="false">IF($A29="","",$C29*K29*(1-(1-J29)^MIN(1,$D29))/(1+$E29)^MIN(1,$D29))</f>
        <v/>
      </c>
      <c r="M29" s="50" t="str">
        <f aca="false">IF($A29="","",$C29*K29*(IF(OR($H29=0,J29=0),0,J29/(1+$E29)*(1-((1-J29)/(1+$E29))^$H29)/(1-(1-J29)/(1+$E29)))+(1-J29)^$H29*(1-(1-J29)^$I29)/(1+$E29)^$D29))</f>
        <v/>
      </c>
      <c r="N29" s="50" t="str">
        <f aca="false">IF($A29="","",IF($B29=3,$C29*K29,IF($B29=2,M29,L29)))</f>
        <v/>
      </c>
      <c r="O29" s="48" t="str">
        <f aca="false">IF($A29="","",MIN(Assumptions!$C$10,$F29*Assumptions!$D$16))</f>
        <v/>
      </c>
      <c r="P29" s="49" t="str">
        <f aca="false">IF($A29="","",MIN(1,$G29*Assumptions!$E$16))</f>
        <v/>
      </c>
      <c r="Q29" s="50" t="str">
        <f aca="false">IF($A29="","",$C29*P29*(1-(1-O29)^MIN(1,$D29))/(1+$E29)^MIN(1,$D29))</f>
        <v/>
      </c>
      <c r="R29" s="50" t="str">
        <f aca="false">IF($A29="","",$C29*P29*(IF(OR($H29=0,O29=0),0,O29/(1+$E29)*(1-((1-O29)/(1+$E29))^$H29)/(1-(1-O29)/(1+$E29)))+(1-O29)^$H29*(1-(1-O29)^$I29)/(1+$E29)^$D29))</f>
        <v/>
      </c>
      <c r="S29" s="50" t="str">
        <f aca="false">IF($A29="","",IF($B29=3,$C29*P29,IF($B29=2,R29,Q29)))</f>
        <v/>
      </c>
      <c r="T29" s="48" t="str">
        <f aca="false">IF($A29="","",MIN(Assumptions!$C$10,$F29*Assumptions!$D$17))</f>
        <v/>
      </c>
      <c r="U29" s="49" t="str">
        <f aca="false">IF($A29="","",MIN(1,$G29*Assumptions!$E$17))</f>
        <v/>
      </c>
      <c r="V29" s="50" t="str">
        <f aca="false">IF($A29="","",$C29*U29*(1-(1-T29)^MIN(1,$D29))/(1+$E29)^MIN(1,$D29))</f>
        <v/>
      </c>
      <c r="W29" s="50" t="str">
        <f aca="false">IF($A29="","",$C29*U29*(IF(OR($H29=0,T29=0),0,T29/(1+$E29)*(1-((1-T29)/(1+$E29))^$H29)/(1-(1-T29)/(1+$E29)))+(1-T29)^$H29*(1-(1-T29)^$I29)/(1+$E29)^$D29))</f>
        <v/>
      </c>
      <c r="X29" s="50" t="str">
        <f aca="false">IF($A29="","",IF($B29=3,$C29*U29,IF($B29=2,W29,V29)))</f>
        <v/>
      </c>
      <c r="Y29" s="50" t="str">
        <f aca="false">IF($A29="","",L29*Assumptions!$C$15+Q29*Assumptions!$C$16+V29*Assumptions!$C$17)</f>
        <v/>
      </c>
      <c r="Z29" s="50" t="str">
        <f aca="false">IF($A29="","",M29*Assumptions!$C$15+R29*Assumptions!$C$16+W29*Assumptions!$C$17)</f>
        <v/>
      </c>
      <c r="AA29" s="50" t="str">
        <f aca="false">IF($A29="","",N29*Assumptions!$C$15+S29*Assumptions!$C$16+X29*Assumptions!$C$17)</f>
        <v/>
      </c>
      <c r="AB29" s="48" t="str">
        <f aca="false">IF($A29="","",IF(C29=0,0,AA29/C29))</f>
        <v/>
      </c>
    </row>
    <row r="30" customFormat="false" ht="15" hidden="false" customHeight="false" outlineLevel="0" collapsed="false">
      <c r="A30" s="40" t="str">
        <f aca="false">IF(Portfolio!A30="","",Portfolio!A30)</f>
        <v/>
      </c>
      <c r="B30" s="41" t="str">
        <f aca="false">IF($A30="","",Portfolio!W30)</f>
        <v/>
      </c>
      <c r="C30" s="42" t="str">
        <f aca="false">IF($A30="","",Portfolio!Q30)</f>
        <v/>
      </c>
      <c r="D30" s="43" t="str">
        <f aca="false">IF($A30="","",Portfolio!R30)</f>
        <v/>
      </c>
      <c r="E30" s="44" t="str">
        <f aca="false">IF($A30="","",Portfolio!H30)</f>
        <v/>
      </c>
      <c r="F30" s="44" t="str">
        <f aca="false">IF($A30="","",Portfolio!X30)</f>
        <v/>
      </c>
      <c r="G30" s="45" t="str">
        <f aca="false">IF($A30="","",Portfolio!Y30)</f>
        <v/>
      </c>
      <c r="H30" s="46" t="str">
        <f aca="false">IF($A30="","",INT(D30))</f>
        <v/>
      </c>
      <c r="I30" s="47" t="str">
        <f aca="false">IF($A30="","",D30-H30)</f>
        <v/>
      </c>
      <c r="J30" s="48" t="str">
        <f aca="false">IF($A30="","",MIN(Assumptions!$C$10,$F30*Assumptions!$D$15))</f>
        <v/>
      </c>
      <c r="K30" s="49" t="str">
        <f aca="false">IF($A30="","",MIN(1,$G30*Assumptions!$E$15))</f>
        <v/>
      </c>
      <c r="L30" s="50" t="str">
        <f aca="false">IF($A30="","",$C30*K30*(1-(1-J30)^MIN(1,$D30))/(1+$E30)^MIN(1,$D30))</f>
        <v/>
      </c>
      <c r="M30" s="50" t="str">
        <f aca="false">IF($A30="","",$C30*K30*(IF(OR($H30=0,J30=0),0,J30/(1+$E30)*(1-((1-J30)/(1+$E30))^$H30)/(1-(1-J30)/(1+$E30)))+(1-J30)^$H30*(1-(1-J30)^$I30)/(1+$E30)^$D30))</f>
        <v/>
      </c>
      <c r="N30" s="50" t="str">
        <f aca="false">IF($A30="","",IF($B30=3,$C30*K30,IF($B30=2,M30,L30)))</f>
        <v/>
      </c>
      <c r="O30" s="48" t="str">
        <f aca="false">IF($A30="","",MIN(Assumptions!$C$10,$F30*Assumptions!$D$16))</f>
        <v/>
      </c>
      <c r="P30" s="49" t="str">
        <f aca="false">IF($A30="","",MIN(1,$G30*Assumptions!$E$16))</f>
        <v/>
      </c>
      <c r="Q30" s="50" t="str">
        <f aca="false">IF($A30="","",$C30*P30*(1-(1-O30)^MIN(1,$D30))/(1+$E30)^MIN(1,$D30))</f>
        <v/>
      </c>
      <c r="R30" s="50" t="str">
        <f aca="false">IF($A30="","",$C30*P30*(IF(OR($H30=0,O30=0),0,O30/(1+$E30)*(1-((1-O30)/(1+$E30))^$H30)/(1-(1-O30)/(1+$E30)))+(1-O30)^$H30*(1-(1-O30)^$I30)/(1+$E30)^$D30))</f>
        <v/>
      </c>
      <c r="S30" s="50" t="str">
        <f aca="false">IF($A30="","",IF($B30=3,$C30*P30,IF($B30=2,R30,Q30)))</f>
        <v/>
      </c>
      <c r="T30" s="48" t="str">
        <f aca="false">IF($A30="","",MIN(Assumptions!$C$10,$F30*Assumptions!$D$17))</f>
        <v/>
      </c>
      <c r="U30" s="49" t="str">
        <f aca="false">IF($A30="","",MIN(1,$G30*Assumptions!$E$17))</f>
        <v/>
      </c>
      <c r="V30" s="50" t="str">
        <f aca="false">IF($A30="","",$C30*U30*(1-(1-T30)^MIN(1,$D30))/(1+$E30)^MIN(1,$D30))</f>
        <v/>
      </c>
      <c r="W30" s="50" t="str">
        <f aca="false">IF($A30="","",$C30*U30*(IF(OR($H30=0,T30=0),0,T30/(1+$E30)*(1-((1-T30)/(1+$E30))^$H30)/(1-(1-T30)/(1+$E30)))+(1-T30)^$H30*(1-(1-T30)^$I30)/(1+$E30)^$D30))</f>
        <v/>
      </c>
      <c r="X30" s="50" t="str">
        <f aca="false">IF($A30="","",IF($B30=3,$C30*U30,IF($B30=2,W30,V30)))</f>
        <v/>
      </c>
      <c r="Y30" s="50" t="str">
        <f aca="false">IF($A30="","",L30*Assumptions!$C$15+Q30*Assumptions!$C$16+V30*Assumptions!$C$17)</f>
        <v/>
      </c>
      <c r="Z30" s="50" t="str">
        <f aca="false">IF($A30="","",M30*Assumptions!$C$15+R30*Assumptions!$C$16+W30*Assumptions!$C$17)</f>
        <v/>
      </c>
      <c r="AA30" s="50" t="str">
        <f aca="false">IF($A30="","",N30*Assumptions!$C$15+S30*Assumptions!$C$16+X30*Assumptions!$C$17)</f>
        <v/>
      </c>
      <c r="AB30" s="48" t="str">
        <f aca="false">IF($A30="","",IF(C30=0,0,AA30/C30))</f>
        <v/>
      </c>
    </row>
    <row r="31" customFormat="false" ht="15" hidden="false" customHeight="false" outlineLevel="0" collapsed="false">
      <c r="A31" s="40" t="str">
        <f aca="false">IF(Portfolio!A31="","",Portfolio!A31)</f>
        <v/>
      </c>
      <c r="B31" s="41" t="str">
        <f aca="false">IF($A31="","",Portfolio!W31)</f>
        <v/>
      </c>
      <c r="C31" s="42" t="str">
        <f aca="false">IF($A31="","",Portfolio!Q31)</f>
        <v/>
      </c>
      <c r="D31" s="43" t="str">
        <f aca="false">IF($A31="","",Portfolio!R31)</f>
        <v/>
      </c>
      <c r="E31" s="44" t="str">
        <f aca="false">IF($A31="","",Portfolio!H31)</f>
        <v/>
      </c>
      <c r="F31" s="44" t="str">
        <f aca="false">IF($A31="","",Portfolio!X31)</f>
        <v/>
      </c>
      <c r="G31" s="45" t="str">
        <f aca="false">IF($A31="","",Portfolio!Y31)</f>
        <v/>
      </c>
      <c r="H31" s="46" t="str">
        <f aca="false">IF($A31="","",INT(D31))</f>
        <v/>
      </c>
      <c r="I31" s="47" t="str">
        <f aca="false">IF($A31="","",D31-H31)</f>
        <v/>
      </c>
      <c r="J31" s="48" t="str">
        <f aca="false">IF($A31="","",MIN(Assumptions!$C$10,$F31*Assumptions!$D$15))</f>
        <v/>
      </c>
      <c r="K31" s="49" t="str">
        <f aca="false">IF($A31="","",MIN(1,$G31*Assumptions!$E$15))</f>
        <v/>
      </c>
      <c r="L31" s="50" t="str">
        <f aca="false">IF($A31="","",$C31*K31*(1-(1-J31)^MIN(1,$D31))/(1+$E31)^MIN(1,$D31))</f>
        <v/>
      </c>
      <c r="M31" s="50" t="str">
        <f aca="false">IF($A31="","",$C31*K31*(IF(OR($H31=0,J31=0),0,J31/(1+$E31)*(1-((1-J31)/(1+$E31))^$H31)/(1-(1-J31)/(1+$E31)))+(1-J31)^$H31*(1-(1-J31)^$I31)/(1+$E31)^$D31))</f>
        <v/>
      </c>
      <c r="N31" s="50" t="str">
        <f aca="false">IF($A31="","",IF($B31=3,$C31*K31,IF($B31=2,M31,L31)))</f>
        <v/>
      </c>
      <c r="O31" s="48" t="str">
        <f aca="false">IF($A31="","",MIN(Assumptions!$C$10,$F31*Assumptions!$D$16))</f>
        <v/>
      </c>
      <c r="P31" s="49" t="str">
        <f aca="false">IF($A31="","",MIN(1,$G31*Assumptions!$E$16))</f>
        <v/>
      </c>
      <c r="Q31" s="50" t="str">
        <f aca="false">IF($A31="","",$C31*P31*(1-(1-O31)^MIN(1,$D31))/(1+$E31)^MIN(1,$D31))</f>
        <v/>
      </c>
      <c r="R31" s="50" t="str">
        <f aca="false">IF($A31="","",$C31*P31*(IF(OR($H31=0,O31=0),0,O31/(1+$E31)*(1-((1-O31)/(1+$E31))^$H31)/(1-(1-O31)/(1+$E31)))+(1-O31)^$H31*(1-(1-O31)^$I31)/(1+$E31)^$D31))</f>
        <v/>
      </c>
      <c r="S31" s="50" t="str">
        <f aca="false">IF($A31="","",IF($B31=3,$C31*P31,IF($B31=2,R31,Q31)))</f>
        <v/>
      </c>
      <c r="T31" s="48" t="str">
        <f aca="false">IF($A31="","",MIN(Assumptions!$C$10,$F31*Assumptions!$D$17))</f>
        <v/>
      </c>
      <c r="U31" s="49" t="str">
        <f aca="false">IF($A31="","",MIN(1,$G31*Assumptions!$E$17))</f>
        <v/>
      </c>
      <c r="V31" s="50" t="str">
        <f aca="false">IF($A31="","",$C31*U31*(1-(1-T31)^MIN(1,$D31))/(1+$E31)^MIN(1,$D31))</f>
        <v/>
      </c>
      <c r="W31" s="50" t="str">
        <f aca="false">IF($A31="","",$C31*U31*(IF(OR($H31=0,T31=0),0,T31/(1+$E31)*(1-((1-T31)/(1+$E31))^$H31)/(1-(1-T31)/(1+$E31)))+(1-T31)^$H31*(1-(1-T31)^$I31)/(1+$E31)^$D31))</f>
        <v/>
      </c>
      <c r="X31" s="50" t="str">
        <f aca="false">IF($A31="","",IF($B31=3,$C31*U31,IF($B31=2,W31,V31)))</f>
        <v/>
      </c>
      <c r="Y31" s="50" t="str">
        <f aca="false">IF($A31="","",L31*Assumptions!$C$15+Q31*Assumptions!$C$16+V31*Assumptions!$C$17)</f>
        <v/>
      </c>
      <c r="Z31" s="50" t="str">
        <f aca="false">IF($A31="","",M31*Assumptions!$C$15+R31*Assumptions!$C$16+W31*Assumptions!$C$17)</f>
        <v/>
      </c>
      <c r="AA31" s="50" t="str">
        <f aca="false">IF($A31="","",N31*Assumptions!$C$15+S31*Assumptions!$C$16+X31*Assumptions!$C$17)</f>
        <v/>
      </c>
      <c r="AB31" s="48" t="str">
        <f aca="false">IF($A31="","",IF(C31=0,0,AA31/C31))</f>
        <v/>
      </c>
    </row>
    <row r="32" customFormat="false" ht="15" hidden="false" customHeight="false" outlineLevel="0" collapsed="false">
      <c r="A32" s="40" t="str">
        <f aca="false">IF(Portfolio!A32="","",Portfolio!A32)</f>
        <v/>
      </c>
      <c r="B32" s="41" t="str">
        <f aca="false">IF($A32="","",Portfolio!W32)</f>
        <v/>
      </c>
      <c r="C32" s="42" t="str">
        <f aca="false">IF($A32="","",Portfolio!Q32)</f>
        <v/>
      </c>
      <c r="D32" s="43" t="str">
        <f aca="false">IF($A32="","",Portfolio!R32)</f>
        <v/>
      </c>
      <c r="E32" s="44" t="str">
        <f aca="false">IF($A32="","",Portfolio!H32)</f>
        <v/>
      </c>
      <c r="F32" s="44" t="str">
        <f aca="false">IF($A32="","",Portfolio!X32)</f>
        <v/>
      </c>
      <c r="G32" s="45" t="str">
        <f aca="false">IF($A32="","",Portfolio!Y32)</f>
        <v/>
      </c>
      <c r="H32" s="46" t="str">
        <f aca="false">IF($A32="","",INT(D32))</f>
        <v/>
      </c>
      <c r="I32" s="47" t="str">
        <f aca="false">IF($A32="","",D32-H32)</f>
        <v/>
      </c>
      <c r="J32" s="48" t="str">
        <f aca="false">IF($A32="","",MIN(Assumptions!$C$10,$F32*Assumptions!$D$15))</f>
        <v/>
      </c>
      <c r="K32" s="49" t="str">
        <f aca="false">IF($A32="","",MIN(1,$G32*Assumptions!$E$15))</f>
        <v/>
      </c>
      <c r="L32" s="50" t="str">
        <f aca="false">IF($A32="","",$C32*K32*(1-(1-J32)^MIN(1,$D32))/(1+$E32)^MIN(1,$D32))</f>
        <v/>
      </c>
      <c r="M32" s="50" t="str">
        <f aca="false">IF($A32="","",$C32*K32*(IF(OR($H32=0,J32=0),0,J32/(1+$E32)*(1-((1-J32)/(1+$E32))^$H32)/(1-(1-J32)/(1+$E32)))+(1-J32)^$H32*(1-(1-J32)^$I32)/(1+$E32)^$D32))</f>
        <v/>
      </c>
      <c r="N32" s="50" t="str">
        <f aca="false">IF($A32="","",IF($B32=3,$C32*K32,IF($B32=2,M32,L32)))</f>
        <v/>
      </c>
      <c r="O32" s="48" t="str">
        <f aca="false">IF($A32="","",MIN(Assumptions!$C$10,$F32*Assumptions!$D$16))</f>
        <v/>
      </c>
      <c r="P32" s="49" t="str">
        <f aca="false">IF($A32="","",MIN(1,$G32*Assumptions!$E$16))</f>
        <v/>
      </c>
      <c r="Q32" s="50" t="str">
        <f aca="false">IF($A32="","",$C32*P32*(1-(1-O32)^MIN(1,$D32))/(1+$E32)^MIN(1,$D32))</f>
        <v/>
      </c>
      <c r="R32" s="50" t="str">
        <f aca="false">IF($A32="","",$C32*P32*(IF(OR($H32=0,O32=0),0,O32/(1+$E32)*(1-((1-O32)/(1+$E32))^$H32)/(1-(1-O32)/(1+$E32)))+(1-O32)^$H32*(1-(1-O32)^$I32)/(1+$E32)^$D32))</f>
        <v/>
      </c>
      <c r="S32" s="50" t="str">
        <f aca="false">IF($A32="","",IF($B32=3,$C32*P32,IF($B32=2,R32,Q32)))</f>
        <v/>
      </c>
      <c r="T32" s="48" t="str">
        <f aca="false">IF($A32="","",MIN(Assumptions!$C$10,$F32*Assumptions!$D$17))</f>
        <v/>
      </c>
      <c r="U32" s="49" t="str">
        <f aca="false">IF($A32="","",MIN(1,$G32*Assumptions!$E$17))</f>
        <v/>
      </c>
      <c r="V32" s="50" t="str">
        <f aca="false">IF($A32="","",$C32*U32*(1-(1-T32)^MIN(1,$D32))/(1+$E32)^MIN(1,$D32))</f>
        <v/>
      </c>
      <c r="W32" s="50" t="str">
        <f aca="false">IF($A32="","",$C32*U32*(IF(OR($H32=0,T32=0),0,T32/(1+$E32)*(1-((1-T32)/(1+$E32))^$H32)/(1-(1-T32)/(1+$E32)))+(1-T32)^$H32*(1-(1-T32)^$I32)/(1+$E32)^$D32))</f>
        <v/>
      </c>
      <c r="X32" s="50" t="str">
        <f aca="false">IF($A32="","",IF($B32=3,$C32*U32,IF($B32=2,W32,V32)))</f>
        <v/>
      </c>
      <c r="Y32" s="50" t="str">
        <f aca="false">IF($A32="","",L32*Assumptions!$C$15+Q32*Assumptions!$C$16+V32*Assumptions!$C$17)</f>
        <v/>
      </c>
      <c r="Z32" s="50" t="str">
        <f aca="false">IF($A32="","",M32*Assumptions!$C$15+R32*Assumptions!$C$16+W32*Assumptions!$C$17)</f>
        <v/>
      </c>
      <c r="AA32" s="50" t="str">
        <f aca="false">IF($A32="","",N32*Assumptions!$C$15+S32*Assumptions!$C$16+X32*Assumptions!$C$17)</f>
        <v/>
      </c>
      <c r="AB32" s="48" t="str">
        <f aca="false">IF($A32="","",IF(C32=0,0,AA32/C32))</f>
        <v/>
      </c>
    </row>
    <row r="33" customFormat="false" ht="15" hidden="false" customHeight="false" outlineLevel="0" collapsed="false">
      <c r="A33" s="40" t="str">
        <f aca="false">IF(Portfolio!A33="","",Portfolio!A33)</f>
        <v/>
      </c>
      <c r="B33" s="41" t="str">
        <f aca="false">IF($A33="","",Portfolio!W33)</f>
        <v/>
      </c>
      <c r="C33" s="42" t="str">
        <f aca="false">IF($A33="","",Portfolio!Q33)</f>
        <v/>
      </c>
      <c r="D33" s="43" t="str">
        <f aca="false">IF($A33="","",Portfolio!R33)</f>
        <v/>
      </c>
      <c r="E33" s="44" t="str">
        <f aca="false">IF($A33="","",Portfolio!H33)</f>
        <v/>
      </c>
      <c r="F33" s="44" t="str">
        <f aca="false">IF($A33="","",Portfolio!X33)</f>
        <v/>
      </c>
      <c r="G33" s="45" t="str">
        <f aca="false">IF($A33="","",Portfolio!Y33)</f>
        <v/>
      </c>
      <c r="H33" s="46" t="str">
        <f aca="false">IF($A33="","",INT(D33))</f>
        <v/>
      </c>
      <c r="I33" s="47" t="str">
        <f aca="false">IF($A33="","",D33-H33)</f>
        <v/>
      </c>
      <c r="J33" s="48" t="str">
        <f aca="false">IF($A33="","",MIN(Assumptions!$C$10,$F33*Assumptions!$D$15))</f>
        <v/>
      </c>
      <c r="K33" s="49" t="str">
        <f aca="false">IF($A33="","",MIN(1,$G33*Assumptions!$E$15))</f>
        <v/>
      </c>
      <c r="L33" s="50" t="str">
        <f aca="false">IF($A33="","",$C33*K33*(1-(1-J33)^MIN(1,$D33))/(1+$E33)^MIN(1,$D33))</f>
        <v/>
      </c>
      <c r="M33" s="50" t="str">
        <f aca="false">IF($A33="","",$C33*K33*(IF(OR($H33=0,J33=0),0,J33/(1+$E33)*(1-((1-J33)/(1+$E33))^$H33)/(1-(1-J33)/(1+$E33)))+(1-J33)^$H33*(1-(1-J33)^$I33)/(1+$E33)^$D33))</f>
        <v/>
      </c>
      <c r="N33" s="50" t="str">
        <f aca="false">IF($A33="","",IF($B33=3,$C33*K33,IF($B33=2,M33,L33)))</f>
        <v/>
      </c>
      <c r="O33" s="48" t="str">
        <f aca="false">IF($A33="","",MIN(Assumptions!$C$10,$F33*Assumptions!$D$16))</f>
        <v/>
      </c>
      <c r="P33" s="49" t="str">
        <f aca="false">IF($A33="","",MIN(1,$G33*Assumptions!$E$16))</f>
        <v/>
      </c>
      <c r="Q33" s="50" t="str">
        <f aca="false">IF($A33="","",$C33*P33*(1-(1-O33)^MIN(1,$D33))/(1+$E33)^MIN(1,$D33))</f>
        <v/>
      </c>
      <c r="R33" s="50" t="str">
        <f aca="false">IF($A33="","",$C33*P33*(IF(OR($H33=0,O33=0),0,O33/(1+$E33)*(1-((1-O33)/(1+$E33))^$H33)/(1-(1-O33)/(1+$E33)))+(1-O33)^$H33*(1-(1-O33)^$I33)/(1+$E33)^$D33))</f>
        <v/>
      </c>
      <c r="S33" s="50" t="str">
        <f aca="false">IF($A33="","",IF($B33=3,$C33*P33,IF($B33=2,R33,Q33)))</f>
        <v/>
      </c>
      <c r="T33" s="48" t="str">
        <f aca="false">IF($A33="","",MIN(Assumptions!$C$10,$F33*Assumptions!$D$17))</f>
        <v/>
      </c>
      <c r="U33" s="49" t="str">
        <f aca="false">IF($A33="","",MIN(1,$G33*Assumptions!$E$17))</f>
        <v/>
      </c>
      <c r="V33" s="50" t="str">
        <f aca="false">IF($A33="","",$C33*U33*(1-(1-T33)^MIN(1,$D33))/(1+$E33)^MIN(1,$D33))</f>
        <v/>
      </c>
      <c r="W33" s="50" t="str">
        <f aca="false">IF($A33="","",$C33*U33*(IF(OR($H33=0,T33=0),0,T33/(1+$E33)*(1-((1-T33)/(1+$E33))^$H33)/(1-(1-T33)/(1+$E33)))+(1-T33)^$H33*(1-(1-T33)^$I33)/(1+$E33)^$D33))</f>
        <v/>
      </c>
      <c r="X33" s="50" t="str">
        <f aca="false">IF($A33="","",IF($B33=3,$C33*U33,IF($B33=2,W33,V33)))</f>
        <v/>
      </c>
      <c r="Y33" s="50" t="str">
        <f aca="false">IF($A33="","",L33*Assumptions!$C$15+Q33*Assumptions!$C$16+V33*Assumptions!$C$17)</f>
        <v/>
      </c>
      <c r="Z33" s="50" t="str">
        <f aca="false">IF($A33="","",M33*Assumptions!$C$15+R33*Assumptions!$C$16+W33*Assumptions!$C$17)</f>
        <v/>
      </c>
      <c r="AA33" s="50" t="str">
        <f aca="false">IF($A33="","",N33*Assumptions!$C$15+S33*Assumptions!$C$16+X33*Assumptions!$C$17)</f>
        <v/>
      </c>
      <c r="AB33" s="48" t="str">
        <f aca="false">IF($A33="","",IF(C33=0,0,AA33/C33))</f>
        <v/>
      </c>
    </row>
    <row r="34" customFormat="false" ht="15" hidden="false" customHeight="false" outlineLevel="0" collapsed="false">
      <c r="A34" s="40" t="str">
        <f aca="false">IF(Portfolio!A34="","",Portfolio!A34)</f>
        <v/>
      </c>
      <c r="B34" s="41" t="str">
        <f aca="false">IF($A34="","",Portfolio!W34)</f>
        <v/>
      </c>
      <c r="C34" s="42" t="str">
        <f aca="false">IF($A34="","",Portfolio!Q34)</f>
        <v/>
      </c>
      <c r="D34" s="43" t="str">
        <f aca="false">IF($A34="","",Portfolio!R34)</f>
        <v/>
      </c>
      <c r="E34" s="44" t="str">
        <f aca="false">IF($A34="","",Portfolio!H34)</f>
        <v/>
      </c>
      <c r="F34" s="44" t="str">
        <f aca="false">IF($A34="","",Portfolio!X34)</f>
        <v/>
      </c>
      <c r="G34" s="45" t="str">
        <f aca="false">IF($A34="","",Portfolio!Y34)</f>
        <v/>
      </c>
      <c r="H34" s="46" t="str">
        <f aca="false">IF($A34="","",INT(D34))</f>
        <v/>
      </c>
      <c r="I34" s="47" t="str">
        <f aca="false">IF($A34="","",D34-H34)</f>
        <v/>
      </c>
      <c r="J34" s="48" t="str">
        <f aca="false">IF($A34="","",MIN(Assumptions!$C$10,$F34*Assumptions!$D$15))</f>
        <v/>
      </c>
      <c r="K34" s="49" t="str">
        <f aca="false">IF($A34="","",MIN(1,$G34*Assumptions!$E$15))</f>
        <v/>
      </c>
      <c r="L34" s="50" t="str">
        <f aca="false">IF($A34="","",$C34*K34*(1-(1-J34)^MIN(1,$D34))/(1+$E34)^MIN(1,$D34))</f>
        <v/>
      </c>
      <c r="M34" s="50" t="str">
        <f aca="false">IF($A34="","",$C34*K34*(IF(OR($H34=0,J34=0),0,J34/(1+$E34)*(1-((1-J34)/(1+$E34))^$H34)/(1-(1-J34)/(1+$E34)))+(1-J34)^$H34*(1-(1-J34)^$I34)/(1+$E34)^$D34))</f>
        <v/>
      </c>
      <c r="N34" s="50" t="str">
        <f aca="false">IF($A34="","",IF($B34=3,$C34*K34,IF($B34=2,M34,L34)))</f>
        <v/>
      </c>
      <c r="O34" s="48" t="str">
        <f aca="false">IF($A34="","",MIN(Assumptions!$C$10,$F34*Assumptions!$D$16))</f>
        <v/>
      </c>
      <c r="P34" s="49" t="str">
        <f aca="false">IF($A34="","",MIN(1,$G34*Assumptions!$E$16))</f>
        <v/>
      </c>
      <c r="Q34" s="50" t="str">
        <f aca="false">IF($A34="","",$C34*P34*(1-(1-O34)^MIN(1,$D34))/(1+$E34)^MIN(1,$D34))</f>
        <v/>
      </c>
      <c r="R34" s="50" t="str">
        <f aca="false">IF($A34="","",$C34*P34*(IF(OR($H34=0,O34=0),0,O34/(1+$E34)*(1-((1-O34)/(1+$E34))^$H34)/(1-(1-O34)/(1+$E34)))+(1-O34)^$H34*(1-(1-O34)^$I34)/(1+$E34)^$D34))</f>
        <v/>
      </c>
      <c r="S34" s="50" t="str">
        <f aca="false">IF($A34="","",IF($B34=3,$C34*P34,IF($B34=2,R34,Q34)))</f>
        <v/>
      </c>
      <c r="T34" s="48" t="str">
        <f aca="false">IF($A34="","",MIN(Assumptions!$C$10,$F34*Assumptions!$D$17))</f>
        <v/>
      </c>
      <c r="U34" s="49" t="str">
        <f aca="false">IF($A34="","",MIN(1,$G34*Assumptions!$E$17))</f>
        <v/>
      </c>
      <c r="V34" s="50" t="str">
        <f aca="false">IF($A34="","",$C34*U34*(1-(1-T34)^MIN(1,$D34))/(1+$E34)^MIN(1,$D34))</f>
        <v/>
      </c>
      <c r="W34" s="50" t="str">
        <f aca="false">IF($A34="","",$C34*U34*(IF(OR($H34=0,T34=0),0,T34/(1+$E34)*(1-((1-T34)/(1+$E34))^$H34)/(1-(1-T34)/(1+$E34)))+(1-T34)^$H34*(1-(1-T34)^$I34)/(1+$E34)^$D34))</f>
        <v/>
      </c>
      <c r="X34" s="50" t="str">
        <f aca="false">IF($A34="","",IF($B34=3,$C34*U34,IF($B34=2,W34,V34)))</f>
        <v/>
      </c>
      <c r="Y34" s="50" t="str">
        <f aca="false">IF($A34="","",L34*Assumptions!$C$15+Q34*Assumptions!$C$16+V34*Assumptions!$C$17)</f>
        <v/>
      </c>
      <c r="Z34" s="50" t="str">
        <f aca="false">IF($A34="","",M34*Assumptions!$C$15+R34*Assumptions!$C$16+W34*Assumptions!$C$17)</f>
        <v/>
      </c>
      <c r="AA34" s="50" t="str">
        <f aca="false">IF($A34="","",N34*Assumptions!$C$15+S34*Assumptions!$C$16+X34*Assumptions!$C$17)</f>
        <v/>
      </c>
      <c r="AB34" s="48" t="str">
        <f aca="false">IF($A34="","",IF(C34=0,0,AA34/C34))</f>
        <v/>
      </c>
    </row>
    <row r="35" customFormat="false" ht="15" hidden="false" customHeight="false" outlineLevel="0" collapsed="false">
      <c r="A35" s="40" t="str">
        <f aca="false">IF(Portfolio!A35="","",Portfolio!A35)</f>
        <v/>
      </c>
      <c r="B35" s="41" t="str">
        <f aca="false">IF($A35="","",Portfolio!W35)</f>
        <v/>
      </c>
      <c r="C35" s="42" t="str">
        <f aca="false">IF($A35="","",Portfolio!Q35)</f>
        <v/>
      </c>
      <c r="D35" s="43" t="str">
        <f aca="false">IF($A35="","",Portfolio!R35)</f>
        <v/>
      </c>
      <c r="E35" s="44" t="str">
        <f aca="false">IF($A35="","",Portfolio!H35)</f>
        <v/>
      </c>
      <c r="F35" s="44" t="str">
        <f aca="false">IF($A35="","",Portfolio!X35)</f>
        <v/>
      </c>
      <c r="G35" s="45" t="str">
        <f aca="false">IF($A35="","",Portfolio!Y35)</f>
        <v/>
      </c>
      <c r="H35" s="46" t="str">
        <f aca="false">IF($A35="","",INT(D35))</f>
        <v/>
      </c>
      <c r="I35" s="47" t="str">
        <f aca="false">IF($A35="","",D35-H35)</f>
        <v/>
      </c>
      <c r="J35" s="48" t="str">
        <f aca="false">IF($A35="","",MIN(Assumptions!$C$10,$F35*Assumptions!$D$15))</f>
        <v/>
      </c>
      <c r="K35" s="49" t="str">
        <f aca="false">IF($A35="","",MIN(1,$G35*Assumptions!$E$15))</f>
        <v/>
      </c>
      <c r="L35" s="50" t="str">
        <f aca="false">IF($A35="","",$C35*K35*(1-(1-J35)^MIN(1,$D35))/(1+$E35)^MIN(1,$D35))</f>
        <v/>
      </c>
      <c r="M35" s="50" t="str">
        <f aca="false">IF($A35="","",$C35*K35*(IF(OR($H35=0,J35=0),0,J35/(1+$E35)*(1-((1-J35)/(1+$E35))^$H35)/(1-(1-J35)/(1+$E35)))+(1-J35)^$H35*(1-(1-J35)^$I35)/(1+$E35)^$D35))</f>
        <v/>
      </c>
      <c r="N35" s="50" t="str">
        <f aca="false">IF($A35="","",IF($B35=3,$C35*K35,IF($B35=2,M35,L35)))</f>
        <v/>
      </c>
      <c r="O35" s="48" t="str">
        <f aca="false">IF($A35="","",MIN(Assumptions!$C$10,$F35*Assumptions!$D$16))</f>
        <v/>
      </c>
      <c r="P35" s="49" t="str">
        <f aca="false">IF($A35="","",MIN(1,$G35*Assumptions!$E$16))</f>
        <v/>
      </c>
      <c r="Q35" s="50" t="str">
        <f aca="false">IF($A35="","",$C35*P35*(1-(1-O35)^MIN(1,$D35))/(1+$E35)^MIN(1,$D35))</f>
        <v/>
      </c>
      <c r="R35" s="50" t="str">
        <f aca="false">IF($A35="","",$C35*P35*(IF(OR($H35=0,O35=0),0,O35/(1+$E35)*(1-((1-O35)/(1+$E35))^$H35)/(1-(1-O35)/(1+$E35)))+(1-O35)^$H35*(1-(1-O35)^$I35)/(1+$E35)^$D35))</f>
        <v/>
      </c>
      <c r="S35" s="50" t="str">
        <f aca="false">IF($A35="","",IF($B35=3,$C35*P35,IF($B35=2,R35,Q35)))</f>
        <v/>
      </c>
      <c r="T35" s="48" t="str">
        <f aca="false">IF($A35="","",MIN(Assumptions!$C$10,$F35*Assumptions!$D$17))</f>
        <v/>
      </c>
      <c r="U35" s="49" t="str">
        <f aca="false">IF($A35="","",MIN(1,$G35*Assumptions!$E$17))</f>
        <v/>
      </c>
      <c r="V35" s="50" t="str">
        <f aca="false">IF($A35="","",$C35*U35*(1-(1-T35)^MIN(1,$D35))/(1+$E35)^MIN(1,$D35))</f>
        <v/>
      </c>
      <c r="W35" s="50" t="str">
        <f aca="false">IF($A35="","",$C35*U35*(IF(OR($H35=0,T35=0),0,T35/(1+$E35)*(1-((1-T35)/(1+$E35))^$H35)/(1-(1-T35)/(1+$E35)))+(1-T35)^$H35*(1-(1-T35)^$I35)/(1+$E35)^$D35))</f>
        <v/>
      </c>
      <c r="X35" s="50" t="str">
        <f aca="false">IF($A35="","",IF($B35=3,$C35*U35,IF($B35=2,W35,V35)))</f>
        <v/>
      </c>
      <c r="Y35" s="50" t="str">
        <f aca="false">IF($A35="","",L35*Assumptions!$C$15+Q35*Assumptions!$C$16+V35*Assumptions!$C$17)</f>
        <v/>
      </c>
      <c r="Z35" s="50" t="str">
        <f aca="false">IF($A35="","",M35*Assumptions!$C$15+R35*Assumptions!$C$16+W35*Assumptions!$C$17)</f>
        <v/>
      </c>
      <c r="AA35" s="50" t="str">
        <f aca="false">IF($A35="","",N35*Assumptions!$C$15+S35*Assumptions!$C$16+X35*Assumptions!$C$17)</f>
        <v/>
      </c>
      <c r="AB35" s="48" t="str">
        <f aca="false">IF($A35="","",IF(C35=0,0,AA35/C35))</f>
        <v/>
      </c>
    </row>
    <row r="36" customFormat="false" ht="15" hidden="false" customHeight="false" outlineLevel="0" collapsed="false">
      <c r="A36" s="40" t="str">
        <f aca="false">IF(Portfolio!A36="","",Portfolio!A36)</f>
        <v/>
      </c>
      <c r="B36" s="41" t="str">
        <f aca="false">IF($A36="","",Portfolio!W36)</f>
        <v/>
      </c>
      <c r="C36" s="42" t="str">
        <f aca="false">IF($A36="","",Portfolio!Q36)</f>
        <v/>
      </c>
      <c r="D36" s="43" t="str">
        <f aca="false">IF($A36="","",Portfolio!R36)</f>
        <v/>
      </c>
      <c r="E36" s="44" t="str">
        <f aca="false">IF($A36="","",Portfolio!H36)</f>
        <v/>
      </c>
      <c r="F36" s="44" t="str">
        <f aca="false">IF($A36="","",Portfolio!X36)</f>
        <v/>
      </c>
      <c r="G36" s="45" t="str">
        <f aca="false">IF($A36="","",Portfolio!Y36)</f>
        <v/>
      </c>
      <c r="H36" s="46" t="str">
        <f aca="false">IF($A36="","",INT(D36))</f>
        <v/>
      </c>
      <c r="I36" s="47" t="str">
        <f aca="false">IF($A36="","",D36-H36)</f>
        <v/>
      </c>
      <c r="J36" s="48" t="str">
        <f aca="false">IF($A36="","",MIN(Assumptions!$C$10,$F36*Assumptions!$D$15))</f>
        <v/>
      </c>
      <c r="K36" s="49" t="str">
        <f aca="false">IF($A36="","",MIN(1,$G36*Assumptions!$E$15))</f>
        <v/>
      </c>
      <c r="L36" s="50" t="str">
        <f aca="false">IF($A36="","",$C36*K36*(1-(1-J36)^MIN(1,$D36))/(1+$E36)^MIN(1,$D36))</f>
        <v/>
      </c>
      <c r="M36" s="50" t="str">
        <f aca="false">IF($A36="","",$C36*K36*(IF(OR($H36=0,J36=0),0,J36/(1+$E36)*(1-((1-J36)/(1+$E36))^$H36)/(1-(1-J36)/(1+$E36)))+(1-J36)^$H36*(1-(1-J36)^$I36)/(1+$E36)^$D36))</f>
        <v/>
      </c>
      <c r="N36" s="50" t="str">
        <f aca="false">IF($A36="","",IF($B36=3,$C36*K36,IF($B36=2,M36,L36)))</f>
        <v/>
      </c>
      <c r="O36" s="48" t="str">
        <f aca="false">IF($A36="","",MIN(Assumptions!$C$10,$F36*Assumptions!$D$16))</f>
        <v/>
      </c>
      <c r="P36" s="49" t="str">
        <f aca="false">IF($A36="","",MIN(1,$G36*Assumptions!$E$16))</f>
        <v/>
      </c>
      <c r="Q36" s="50" t="str">
        <f aca="false">IF($A36="","",$C36*P36*(1-(1-O36)^MIN(1,$D36))/(1+$E36)^MIN(1,$D36))</f>
        <v/>
      </c>
      <c r="R36" s="50" t="str">
        <f aca="false">IF($A36="","",$C36*P36*(IF(OR($H36=0,O36=0),0,O36/(1+$E36)*(1-((1-O36)/(1+$E36))^$H36)/(1-(1-O36)/(1+$E36)))+(1-O36)^$H36*(1-(1-O36)^$I36)/(1+$E36)^$D36))</f>
        <v/>
      </c>
      <c r="S36" s="50" t="str">
        <f aca="false">IF($A36="","",IF($B36=3,$C36*P36,IF($B36=2,R36,Q36)))</f>
        <v/>
      </c>
      <c r="T36" s="48" t="str">
        <f aca="false">IF($A36="","",MIN(Assumptions!$C$10,$F36*Assumptions!$D$17))</f>
        <v/>
      </c>
      <c r="U36" s="49" t="str">
        <f aca="false">IF($A36="","",MIN(1,$G36*Assumptions!$E$17))</f>
        <v/>
      </c>
      <c r="V36" s="50" t="str">
        <f aca="false">IF($A36="","",$C36*U36*(1-(1-T36)^MIN(1,$D36))/(1+$E36)^MIN(1,$D36))</f>
        <v/>
      </c>
      <c r="W36" s="50" t="str">
        <f aca="false">IF($A36="","",$C36*U36*(IF(OR($H36=0,T36=0),0,T36/(1+$E36)*(1-((1-T36)/(1+$E36))^$H36)/(1-(1-T36)/(1+$E36)))+(1-T36)^$H36*(1-(1-T36)^$I36)/(1+$E36)^$D36))</f>
        <v/>
      </c>
      <c r="X36" s="50" t="str">
        <f aca="false">IF($A36="","",IF($B36=3,$C36*U36,IF($B36=2,W36,V36)))</f>
        <v/>
      </c>
      <c r="Y36" s="50" t="str">
        <f aca="false">IF($A36="","",L36*Assumptions!$C$15+Q36*Assumptions!$C$16+V36*Assumptions!$C$17)</f>
        <v/>
      </c>
      <c r="Z36" s="50" t="str">
        <f aca="false">IF($A36="","",M36*Assumptions!$C$15+R36*Assumptions!$C$16+W36*Assumptions!$C$17)</f>
        <v/>
      </c>
      <c r="AA36" s="50" t="str">
        <f aca="false">IF($A36="","",N36*Assumptions!$C$15+S36*Assumptions!$C$16+X36*Assumptions!$C$17)</f>
        <v/>
      </c>
      <c r="AB36" s="48" t="str">
        <f aca="false">IF($A36="","",IF(C36=0,0,AA36/C36))</f>
        <v/>
      </c>
    </row>
    <row r="37" customFormat="false" ht="15" hidden="false" customHeight="false" outlineLevel="0" collapsed="false">
      <c r="A37" s="40" t="str">
        <f aca="false">IF(Portfolio!A37="","",Portfolio!A37)</f>
        <v/>
      </c>
      <c r="B37" s="41" t="str">
        <f aca="false">IF($A37="","",Portfolio!W37)</f>
        <v/>
      </c>
      <c r="C37" s="42" t="str">
        <f aca="false">IF($A37="","",Portfolio!Q37)</f>
        <v/>
      </c>
      <c r="D37" s="43" t="str">
        <f aca="false">IF($A37="","",Portfolio!R37)</f>
        <v/>
      </c>
      <c r="E37" s="44" t="str">
        <f aca="false">IF($A37="","",Portfolio!H37)</f>
        <v/>
      </c>
      <c r="F37" s="44" t="str">
        <f aca="false">IF($A37="","",Portfolio!X37)</f>
        <v/>
      </c>
      <c r="G37" s="45" t="str">
        <f aca="false">IF($A37="","",Portfolio!Y37)</f>
        <v/>
      </c>
      <c r="H37" s="46" t="str">
        <f aca="false">IF($A37="","",INT(D37))</f>
        <v/>
      </c>
      <c r="I37" s="47" t="str">
        <f aca="false">IF($A37="","",D37-H37)</f>
        <v/>
      </c>
      <c r="J37" s="48" t="str">
        <f aca="false">IF($A37="","",MIN(Assumptions!$C$10,$F37*Assumptions!$D$15))</f>
        <v/>
      </c>
      <c r="K37" s="49" t="str">
        <f aca="false">IF($A37="","",MIN(1,$G37*Assumptions!$E$15))</f>
        <v/>
      </c>
      <c r="L37" s="50" t="str">
        <f aca="false">IF($A37="","",$C37*K37*(1-(1-J37)^MIN(1,$D37))/(1+$E37)^MIN(1,$D37))</f>
        <v/>
      </c>
      <c r="M37" s="50" t="str">
        <f aca="false">IF($A37="","",$C37*K37*(IF(OR($H37=0,J37=0),0,J37/(1+$E37)*(1-((1-J37)/(1+$E37))^$H37)/(1-(1-J37)/(1+$E37)))+(1-J37)^$H37*(1-(1-J37)^$I37)/(1+$E37)^$D37))</f>
        <v/>
      </c>
      <c r="N37" s="50" t="str">
        <f aca="false">IF($A37="","",IF($B37=3,$C37*K37,IF($B37=2,M37,L37)))</f>
        <v/>
      </c>
      <c r="O37" s="48" t="str">
        <f aca="false">IF($A37="","",MIN(Assumptions!$C$10,$F37*Assumptions!$D$16))</f>
        <v/>
      </c>
      <c r="P37" s="49" t="str">
        <f aca="false">IF($A37="","",MIN(1,$G37*Assumptions!$E$16))</f>
        <v/>
      </c>
      <c r="Q37" s="50" t="str">
        <f aca="false">IF($A37="","",$C37*P37*(1-(1-O37)^MIN(1,$D37))/(1+$E37)^MIN(1,$D37))</f>
        <v/>
      </c>
      <c r="R37" s="50" t="str">
        <f aca="false">IF($A37="","",$C37*P37*(IF(OR($H37=0,O37=0),0,O37/(1+$E37)*(1-((1-O37)/(1+$E37))^$H37)/(1-(1-O37)/(1+$E37)))+(1-O37)^$H37*(1-(1-O37)^$I37)/(1+$E37)^$D37))</f>
        <v/>
      </c>
      <c r="S37" s="50" t="str">
        <f aca="false">IF($A37="","",IF($B37=3,$C37*P37,IF($B37=2,R37,Q37)))</f>
        <v/>
      </c>
      <c r="T37" s="48" t="str">
        <f aca="false">IF($A37="","",MIN(Assumptions!$C$10,$F37*Assumptions!$D$17))</f>
        <v/>
      </c>
      <c r="U37" s="49" t="str">
        <f aca="false">IF($A37="","",MIN(1,$G37*Assumptions!$E$17))</f>
        <v/>
      </c>
      <c r="V37" s="50" t="str">
        <f aca="false">IF($A37="","",$C37*U37*(1-(1-T37)^MIN(1,$D37))/(1+$E37)^MIN(1,$D37))</f>
        <v/>
      </c>
      <c r="W37" s="50" t="str">
        <f aca="false">IF($A37="","",$C37*U37*(IF(OR($H37=0,T37=0),0,T37/(1+$E37)*(1-((1-T37)/(1+$E37))^$H37)/(1-(1-T37)/(1+$E37)))+(1-T37)^$H37*(1-(1-T37)^$I37)/(1+$E37)^$D37))</f>
        <v/>
      </c>
      <c r="X37" s="50" t="str">
        <f aca="false">IF($A37="","",IF($B37=3,$C37*U37,IF($B37=2,W37,V37)))</f>
        <v/>
      </c>
      <c r="Y37" s="50" t="str">
        <f aca="false">IF($A37="","",L37*Assumptions!$C$15+Q37*Assumptions!$C$16+V37*Assumptions!$C$17)</f>
        <v/>
      </c>
      <c r="Z37" s="50" t="str">
        <f aca="false">IF($A37="","",M37*Assumptions!$C$15+R37*Assumptions!$C$16+W37*Assumptions!$C$17)</f>
        <v/>
      </c>
      <c r="AA37" s="50" t="str">
        <f aca="false">IF($A37="","",N37*Assumptions!$C$15+S37*Assumptions!$C$16+X37*Assumptions!$C$17)</f>
        <v/>
      </c>
      <c r="AB37" s="48" t="str">
        <f aca="false">IF($A37="","",IF(C37=0,0,AA37/C37))</f>
        <v/>
      </c>
    </row>
    <row r="38" customFormat="false" ht="15" hidden="false" customHeight="false" outlineLevel="0" collapsed="false">
      <c r="A38" s="40" t="str">
        <f aca="false">IF(Portfolio!A38="","",Portfolio!A38)</f>
        <v/>
      </c>
      <c r="B38" s="41" t="str">
        <f aca="false">IF($A38="","",Portfolio!W38)</f>
        <v/>
      </c>
      <c r="C38" s="42" t="str">
        <f aca="false">IF($A38="","",Portfolio!Q38)</f>
        <v/>
      </c>
      <c r="D38" s="43" t="str">
        <f aca="false">IF($A38="","",Portfolio!R38)</f>
        <v/>
      </c>
      <c r="E38" s="44" t="str">
        <f aca="false">IF($A38="","",Portfolio!H38)</f>
        <v/>
      </c>
      <c r="F38" s="44" t="str">
        <f aca="false">IF($A38="","",Portfolio!X38)</f>
        <v/>
      </c>
      <c r="G38" s="45" t="str">
        <f aca="false">IF($A38="","",Portfolio!Y38)</f>
        <v/>
      </c>
      <c r="H38" s="46" t="str">
        <f aca="false">IF($A38="","",INT(D38))</f>
        <v/>
      </c>
      <c r="I38" s="47" t="str">
        <f aca="false">IF($A38="","",D38-H38)</f>
        <v/>
      </c>
      <c r="J38" s="48" t="str">
        <f aca="false">IF($A38="","",MIN(Assumptions!$C$10,$F38*Assumptions!$D$15))</f>
        <v/>
      </c>
      <c r="K38" s="49" t="str">
        <f aca="false">IF($A38="","",MIN(1,$G38*Assumptions!$E$15))</f>
        <v/>
      </c>
      <c r="L38" s="50" t="str">
        <f aca="false">IF($A38="","",$C38*K38*(1-(1-J38)^MIN(1,$D38))/(1+$E38)^MIN(1,$D38))</f>
        <v/>
      </c>
      <c r="M38" s="50" t="str">
        <f aca="false">IF($A38="","",$C38*K38*(IF(OR($H38=0,J38=0),0,J38/(1+$E38)*(1-((1-J38)/(1+$E38))^$H38)/(1-(1-J38)/(1+$E38)))+(1-J38)^$H38*(1-(1-J38)^$I38)/(1+$E38)^$D38))</f>
        <v/>
      </c>
      <c r="N38" s="50" t="str">
        <f aca="false">IF($A38="","",IF($B38=3,$C38*K38,IF($B38=2,M38,L38)))</f>
        <v/>
      </c>
      <c r="O38" s="48" t="str">
        <f aca="false">IF($A38="","",MIN(Assumptions!$C$10,$F38*Assumptions!$D$16))</f>
        <v/>
      </c>
      <c r="P38" s="49" t="str">
        <f aca="false">IF($A38="","",MIN(1,$G38*Assumptions!$E$16))</f>
        <v/>
      </c>
      <c r="Q38" s="50" t="str">
        <f aca="false">IF($A38="","",$C38*P38*(1-(1-O38)^MIN(1,$D38))/(1+$E38)^MIN(1,$D38))</f>
        <v/>
      </c>
      <c r="R38" s="50" t="str">
        <f aca="false">IF($A38="","",$C38*P38*(IF(OR($H38=0,O38=0),0,O38/(1+$E38)*(1-((1-O38)/(1+$E38))^$H38)/(1-(1-O38)/(1+$E38)))+(1-O38)^$H38*(1-(1-O38)^$I38)/(1+$E38)^$D38))</f>
        <v/>
      </c>
      <c r="S38" s="50" t="str">
        <f aca="false">IF($A38="","",IF($B38=3,$C38*P38,IF($B38=2,R38,Q38)))</f>
        <v/>
      </c>
      <c r="T38" s="48" t="str">
        <f aca="false">IF($A38="","",MIN(Assumptions!$C$10,$F38*Assumptions!$D$17))</f>
        <v/>
      </c>
      <c r="U38" s="49" t="str">
        <f aca="false">IF($A38="","",MIN(1,$G38*Assumptions!$E$17))</f>
        <v/>
      </c>
      <c r="V38" s="50" t="str">
        <f aca="false">IF($A38="","",$C38*U38*(1-(1-T38)^MIN(1,$D38))/(1+$E38)^MIN(1,$D38))</f>
        <v/>
      </c>
      <c r="W38" s="50" t="str">
        <f aca="false">IF($A38="","",$C38*U38*(IF(OR($H38=0,T38=0),0,T38/(1+$E38)*(1-((1-T38)/(1+$E38))^$H38)/(1-(1-T38)/(1+$E38)))+(1-T38)^$H38*(1-(1-T38)^$I38)/(1+$E38)^$D38))</f>
        <v/>
      </c>
      <c r="X38" s="50" t="str">
        <f aca="false">IF($A38="","",IF($B38=3,$C38*U38,IF($B38=2,W38,V38)))</f>
        <v/>
      </c>
      <c r="Y38" s="50" t="str">
        <f aca="false">IF($A38="","",L38*Assumptions!$C$15+Q38*Assumptions!$C$16+V38*Assumptions!$C$17)</f>
        <v/>
      </c>
      <c r="Z38" s="50" t="str">
        <f aca="false">IF($A38="","",M38*Assumptions!$C$15+R38*Assumptions!$C$16+W38*Assumptions!$C$17)</f>
        <v/>
      </c>
      <c r="AA38" s="50" t="str">
        <f aca="false">IF($A38="","",N38*Assumptions!$C$15+S38*Assumptions!$C$16+X38*Assumptions!$C$17)</f>
        <v/>
      </c>
      <c r="AB38" s="48" t="str">
        <f aca="false">IF($A38="","",IF(C38=0,0,AA38/C38))</f>
        <v/>
      </c>
    </row>
    <row r="39" customFormat="false" ht="15" hidden="false" customHeight="false" outlineLevel="0" collapsed="false">
      <c r="A39" s="40" t="str">
        <f aca="false">IF(Portfolio!A39="","",Portfolio!A39)</f>
        <v/>
      </c>
      <c r="B39" s="41" t="str">
        <f aca="false">IF($A39="","",Portfolio!W39)</f>
        <v/>
      </c>
      <c r="C39" s="42" t="str">
        <f aca="false">IF($A39="","",Portfolio!Q39)</f>
        <v/>
      </c>
      <c r="D39" s="43" t="str">
        <f aca="false">IF($A39="","",Portfolio!R39)</f>
        <v/>
      </c>
      <c r="E39" s="44" t="str">
        <f aca="false">IF($A39="","",Portfolio!H39)</f>
        <v/>
      </c>
      <c r="F39" s="44" t="str">
        <f aca="false">IF($A39="","",Portfolio!X39)</f>
        <v/>
      </c>
      <c r="G39" s="45" t="str">
        <f aca="false">IF($A39="","",Portfolio!Y39)</f>
        <v/>
      </c>
      <c r="H39" s="46" t="str">
        <f aca="false">IF($A39="","",INT(D39))</f>
        <v/>
      </c>
      <c r="I39" s="47" t="str">
        <f aca="false">IF($A39="","",D39-H39)</f>
        <v/>
      </c>
      <c r="J39" s="48" t="str">
        <f aca="false">IF($A39="","",MIN(Assumptions!$C$10,$F39*Assumptions!$D$15))</f>
        <v/>
      </c>
      <c r="K39" s="49" t="str">
        <f aca="false">IF($A39="","",MIN(1,$G39*Assumptions!$E$15))</f>
        <v/>
      </c>
      <c r="L39" s="50" t="str">
        <f aca="false">IF($A39="","",$C39*K39*(1-(1-J39)^MIN(1,$D39))/(1+$E39)^MIN(1,$D39))</f>
        <v/>
      </c>
      <c r="M39" s="50" t="str">
        <f aca="false">IF($A39="","",$C39*K39*(IF(OR($H39=0,J39=0),0,J39/(1+$E39)*(1-((1-J39)/(1+$E39))^$H39)/(1-(1-J39)/(1+$E39)))+(1-J39)^$H39*(1-(1-J39)^$I39)/(1+$E39)^$D39))</f>
        <v/>
      </c>
      <c r="N39" s="50" t="str">
        <f aca="false">IF($A39="","",IF($B39=3,$C39*K39,IF($B39=2,M39,L39)))</f>
        <v/>
      </c>
      <c r="O39" s="48" t="str">
        <f aca="false">IF($A39="","",MIN(Assumptions!$C$10,$F39*Assumptions!$D$16))</f>
        <v/>
      </c>
      <c r="P39" s="49" t="str">
        <f aca="false">IF($A39="","",MIN(1,$G39*Assumptions!$E$16))</f>
        <v/>
      </c>
      <c r="Q39" s="50" t="str">
        <f aca="false">IF($A39="","",$C39*P39*(1-(1-O39)^MIN(1,$D39))/(1+$E39)^MIN(1,$D39))</f>
        <v/>
      </c>
      <c r="R39" s="50" t="str">
        <f aca="false">IF($A39="","",$C39*P39*(IF(OR($H39=0,O39=0),0,O39/(1+$E39)*(1-((1-O39)/(1+$E39))^$H39)/(1-(1-O39)/(1+$E39)))+(1-O39)^$H39*(1-(1-O39)^$I39)/(1+$E39)^$D39))</f>
        <v/>
      </c>
      <c r="S39" s="50" t="str">
        <f aca="false">IF($A39="","",IF($B39=3,$C39*P39,IF($B39=2,R39,Q39)))</f>
        <v/>
      </c>
      <c r="T39" s="48" t="str">
        <f aca="false">IF($A39="","",MIN(Assumptions!$C$10,$F39*Assumptions!$D$17))</f>
        <v/>
      </c>
      <c r="U39" s="49" t="str">
        <f aca="false">IF($A39="","",MIN(1,$G39*Assumptions!$E$17))</f>
        <v/>
      </c>
      <c r="V39" s="50" t="str">
        <f aca="false">IF($A39="","",$C39*U39*(1-(1-T39)^MIN(1,$D39))/(1+$E39)^MIN(1,$D39))</f>
        <v/>
      </c>
      <c r="W39" s="50" t="str">
        <f aca="false">IF($A39="","",$C39*U39*(IF(OR($H39=0,T39=0),0,T39/(1+$E39)*(1-((1-T39)/(1+$E39))^$H39)/(1-(1-T39)/(1+$E39)))+(1-T39)^$H39*(1-(1-T39)^$I39)/(1+$E39)^$D39))</f>
        <v/>
      </c>
      <c r="X39" s="50" t="str">
        <f aca="false">IF($A39="","",IF($B39=3,$C39*U39,IF($B39=2,W39,V39)))</f>
        <v/>
      </c>
      <c r="Y39" s="50" t="str">
        <f aca="false">IF($A39="","",L39*Assumptions!$C$15+Q39*Assumptions!$C$16+V39*Assumptions!$C$17)</f>
        <v/>
      </c>
      <c r="Z39" s="50" t="str">
        <f aca="false">IF($A39="","",M39*Assumptions!$C$15+R39*Assumptions!$C$16+W39*Assumptions!$C$17)</f>
        <v/>
      </c>
      <c r="AA39" s="50" t="str">
        <f aca="false">IF($A39="","",N39*Assumptions!$C$15+S39*Assumptions!$C$16+X39*Assumptions!$C$17)</f>
        <v/>
      </c>
      <c r="AB39" s="48" t="str">
        <f aca="false">IF($A39="","",IF(C39=0,0,AA39/C39))</f>
        <v/>
      </c>
    </row>
    <row r="40" customFormat="false" ht="15" hidden="false" customHeight="false" outlineLevel="0" collapsed="false">
      <c r="A40" s="40" t="str">
        <f aca="false">IF(Portfolio!A40="","",Portfolio!A40)</f>
        <v/>
      </c>
      <c r="B40" s="41" t="str">
        <f aca="false">IF($A40="","",Portfolio!W40)</f>
        <v/>
      </c>
      <c r="C40" s="42" t="str">
        <f aca="false">IF($A40="","",Portfolio!Q40)</f>
        <v/>
      </c>
      <c r="D40" s="43" t="str">
        <f aca="false">IF($A40="","",Portfolio!R40)</f>
        <v/>
      </c>
      <c r="E40" s="44" t="str">
        <f aca="false">IF($A40="","",Portfolio!H40)</f>
        <v/>
      </c>
      <c r="F40" s="44" t="str">
        <f aca="false">IF($A40="","",Portfolio!X40)</f>
        <v/>
      </c>
      <c r="G40" s="45" t="str">
        <f aca="false">IF($A40="","",Portfolio!Y40)</f>
        <v/>
      </c>
      <c r="H40" s="46" t="str">
        <f aca="false">IF($A40="","",INT(D40))</f>
        <v/>
      </c>
      <c r="I40" s="47" t="str">
        <f aca="false">IF($A40="","",D40-H40)</f>
        <v/>
      </c>
      <c r="J40" s="48" t="str">
        <f aca="false">IF($A40="","",MIN(Assumptions!$C$10,$F40*Assumptions!$D$15))</f>
        <v/>
      </c>
      <c r="K40" s="49" t="str">
        <f aca="false">IF($A40="","",MIN(1,$G40*Assumptions!$E$15))</f>
        <v/>
      </c>
      <c r="L40" s="50" t="str">
        <f aca="false">IF($A40="","",$C40*K40*(1-(1-J40)^MIN(1,$D40))/(1+$E40)^MIN(1,$D40))</f>
        <v/>
      </c>
      <c r="M40" s="50" t="str">
        <f aca="false">IF($A40="","",$C40*K40*(IF(OR($H40=0,J40=0),0,J40/(1+$E40)*(1-((1-J40)/(1+$E40))^$H40)/(1-(1-J40)/(1+$E40)))+(1-J40)^$H40*(1-(1-J40)^$I40)/(1+$E40)^$D40))</f>
        <v/>
      </c>
      <c r="N40" s="50" t="str">
        <f aca="false">IF($A40="","",IF($B40=3,$C40*K40,IF($B40=2,M40,L40)))</f>
        <v/>
      </c>
      <c r="O40" s="48" t="str">
        <f aca="false">IF($A40="","",MIN(Assumptions!$C$10,$F40*Assumptions!$D$16))</f>
        <v/>
      </c>
      <c r="P40" s="49" t="str">
        <f aca="false">IF($A40="","",MIN(1,$G40*Assumptions!$E$16))</f>
        <v/>
      </c>
      <c r="Q40" s="50" t="str">
        <f aca="false">IF($A40="","",$C40*P40*(1-(1-O40)^MIN(1,$D40))/(1+$E40)^MIN(1,$D40))</f>
        <v/>
      </c>
      <c r="R40" s="50" t="str">
        <f aca="false">IF($A40="","",$C40*P40*(IF(OR($H40=0,O40=0),0,O40/(1+$E40)*(1-((1-O40)/(1+$E40))^$H40)/(1-(1-O40)/(1+$E40)))+(1-O40)^$H40*(1-(1-O40)^$I40)/(1+$E40)^$D40))</f>
        <v/>
      </c>
      <c r="S40" s="50" t="str">
        <f aca="false">IF($A40="","",IF($B40=3,$C40*P40,IF($B40=2,R40,Q40)))</f>
        <v/>
      </c>
      <c r="T40" s="48" t="str">
        <f aca="false">IF($A40="","",MIN(Assumptions!$C$10,$F40*Assumptions!$D$17))</f>
        <v/>
      </c>
      <c r="U40" s="49" t="str">
        <f aca="false">IF($A40="","",MIN(1,$G40*Assumptions!$E$17))</f>
        <v/>
      </c>
      <c r="V40" s="50" t="str">
        <f aca="false">IF($A40="","",$C40*U40*(1-(1-T40)^MIN(1,$D40))/(1+$E40)^MIN(1,$D40))</f>
        <v/>
      </c>
      <c r="W40" s="50" t="str">
        <f aca="false">IF($A40="","",$C40*U40*(IF(OR($H40=0,T40=0),0,T40/(1+$E40)*(1-((1-T40)/(1+$E40))^$H40)/(1-(1-T40)/(1+$E40)))+(1-T40)^$H40*(1-(1-T40)^$I40)/(1+$E40)^$D40))</f>
        <v/>
      </c>
      <c r="X40" s="50" t="str">
        <f aca="false">IF($A40="","",IF($B40=3,$C40*U40,IF($B40=2,W40,V40)))</f>
        <v/>
      </c>
      <c r="Y40" s="50" t="str">
        <f aca="false">IF($A40="","",L40*Assumptions!$C$15+Q40*Assumptions!$C$16+V40*Assumptions!$C$17)</f>
        <v/>
      </c>
      <c r="Z40" s="50" t="str">
        <f aca="false">IF($A40="","",M40*Assumptions!$C$15+R40*Assumptions!$C$16+W40*Assumptions!$C$17)</f>
        <v/>
      </c>
      <c r="AA40" s="50" t="str">
        <f aca="false">IF($A40="","",N40*Assumptions!$C$15+S40*Assumptions!$C$16+X40*Assumptions!$C$17)</f>
        <v/>
      </c>
      <c r="AB40" s="48" t="str">
        <f aca="false">IF($A40="","",IF(C40=0,0,AA40/C40))</f>
        <v/>
      </c>
    </row>
    <row r="41" customFormat="false" ht="15" hidden="false" customHeight="false" outlineLevel="0" collapsed="false">
      <c r="A41" s="40" t="str">
        <f aca="false">IF(Portfolio!A41="","",Portfolio!A41)</f>
        <v/>
      </c>
      <c r="B41" s="41" t="str">
        <f aca="false">IF($A41="","",Portfolio!W41)</f>
        <v/>
      </c>
      <c r="C41" s="42" t="str">
        <f aca="false">IF($A41="","",Portfolio!Q41)</f>
        <v/>
      </c>
      <c r="D41" s="43" t="str">
        <f aca="false">IF($A41="","",Portfolio!R41)</f>
        <v/>
      </c>
      <c r="E41" s="44" t="str">
        <f aca="false">IF($A41="","",Portfolio!H41)</f>
        <v/>
      </c>
      <c r="F41" s="44" t="str">
        <f aca="false">IF($A41="","",Portfolio!X41)</f>
        <v/>
      </c>
      <c r="G41" s="45" t="str">
        <f aca="false">IF($A41="","",Portfolio!Y41)</f>
        <v/>
      </c>
      <c r="H41" s="46" t="str">
        <f aca="false">IF($A41="","",INT(D41))</f>
        <v/>
      </c>
      <c r="I41" s="47" t="str">
        <f aca="false">IF($A41="","",D41-H41)</f>
        <v/>
      </c>
      <c r="J41" s="48" t="str">
        <f aca="false">IF($A41="","",MIN(Assumptions!$C$10,$F41*Assumptions!$D$15))</f>
        <v/>
      </c>
      <c r="K41" s="49" t="str">
        <f aca="false">IF($A41="","",MIN(1,$G41*Assumptions!$E$15))</f>
        <v/>
      </c>
      <c r="L41" s="50" t="str">
        <f aca="false">IF($A41="","",$C41*K41*(1-(1-J41)^MIN(1,$D41))/(1+$E41)^MIN(1,$D41))</f>
        <v/>
      </c>
      <c r="M41" s="50" t="str">
        <f aca="false">IF($A41="","",$C41*K41*(IF(OR($H41=0,J41=0),0,J41/(1+$E41)*(1-((1-J41)/(1+$E41))^$H41)/(1-(1-J41)/(1+$E41)))+(1-J41)^$H41*(1-(1-J41)^$I41)/(1+$E41)^$D41))</f>
        <v/>
      </c>
      <c r="N41" s="50" t="str">
        <f aca="false">IF($A41="","",IF($B41=3,$C41*K41,IF($B41=2,M41,L41)))</f>
        <v/>
      </c>
      <c r="O41" s="48" t="str">
        <f aca="false">IF($A41="","",MIN(Assumptions!$C$10,$F41*Assumptions!$D$16))</f>
        <v/>
      </c>
      <c r="P41" s="49" t="str">
        <f aca="false">IF($A41="","",MIN(1,$G41*Assumptions!$E$16))</f>
        <v/>
      </c>
      <c r="Q41" s="50" t="str">
        <f aca="false">IF($A41="","",$C41*P41*(1-(1-O41)^MIN(1,$D41))/(1+$E41)^MIN(1,$D41))</f>
        <v/>
      </c>
      <c r="R41" s="50" t="str">
        <f aca="false">IF($A41="","",$C41*P41*(IF(OR($H41=0,O41=0),0,O41/(1+$E41)*(1-((1-O41)/(1+$E41))^$H41)/(1-(1-O41)/(1+$E41)))+(1-O41)^$H41*(1-(1-O41)^$I41)/(1+$E41)^$D41))</f>
        <v/>
      </c>
      <c r="S41" s="50" t="str">
        <f aca="false">IF($A41="","",IF($B41=3,$C41*P41,IF($B41=2,R41,Q41)))</f>
        <v/>
      </c>
      <c r="T41" s="48" t="str">
        <f aca="false">IF($A41="","",MIN(Assumptions!$C$10,$F41*Assumptions!$D$17))</f>
        <v/>
      </c>
      <c r="U41" s="49" t="str">
        <f aca="false">IF($A41="","",MIN(1,$G41*Assumptions!$E$17))</f>
        <v/>
      </c>
      <c r="V41" s="50" t="str">
        <f aca="false">IF($A41="","",$C41*U41*(1-(1-T41)^MIN(1,$D41))/(1+$E41)^MIN(1,$D41))</f>
        <v/>
      </c>
      <c r="W41" s="50" t="str">
        <f aca="false">IF($A41="","",$C41*U41*(IF(OR($H41=0,T41=0),0,T41/(1+$E41)*(1-((1-T41)/(1+$E41))^$H41)/(1-(1-T41)/(1+$E41)))+(1-T41)^$H41*(1-(1-T41)^$I41)/(1+$E41)^$D41))</f>
        <v/>
      </c>
      <c r="X41" s="50" t="str">
        <f aca="false">IF($A41="","",IF($B41=3,$C41*U41,IF($B41=2,W41,V41)))</f>
        <v/>
      </c>
      <c r="Y41" s="50" t="str">
        <f aca="false">IF($A41="","",L41*Assumptions!$C$15+Q41*Assumptions!$C$16+V41*Assumptions!$C$17)</f>
        <v/>
      </c>
      <c r="Z41" s="50" t="str">
        <f aca="false">IF($A41="","",M41*Assumptions!$C$15+R41*Assumptions!$C$16+W41*Assumptions!$C$17)</f>
        <v/>
      </c>
      <c r="AA41" s="50" t="str">
        <f aca="false">IF($A41="","",N41*Assumptions!$C$15+S41*Assumptions!$C$16+X41*Assumptions!$C$17)</f>
        <v/>
      </c>
      <c r="AB41" s="48" t="str">
        <f aca="false">IF($A41="","",IF(C41=0,0,AA41/C41))</f>
        <v/>
      </c>
    </row>
    <row r="42" customFormat="false" ht="15" hidden="false" customHeight="false" outlineLevel="0" collapsed="false">
      <c r="A42" s="40" t="str">
        <f aca="false">IF(Portfolio!A42="","",Portfolio!A42)</f>
        <v/>
      </c>
      <c r="B42" s="41" t="str">
        <f aca="false">IF($A42="","",Portfolio!W42)</f>
        <v/>
      </c>
      <c r="C42" s="42" t="str">
        <f aca="false">IF($A42="","",Portfolio!Q42)</f>
        <v/>
      </c>
      <c r="D42" s="43" t="str">
        <f aca="false">IF($A42="","",Portfolio!R42)</f>
        <v/>
      </c>
      <c r="E42" s="44" t="str">
        <f aca="false">IF($A42="","",Portfolio!H42)</f>
        <v/>
      </c>
      <c r="F42" s="44" t="str">
        <f aca="false">IF($A42="","",Portfolio!X42)</f>
        <v/>
      </c>
      <c r="G42" s="45" t="str">
        <f aca="false">IF($A42="","",Portfolio!Y42)</f>
        <v/>
      </c>
      <c r="H42" s="46" t="str">
        <f aca="false">IF($A42="","",INT(D42))</f>
        <v/>
      </c>
      <c r="I42" s="47" t="str">
        <f aca="false">IF($A42="","",D42-H42)</f>
        <v/>
      </c>
      <c r="J42" s="48" t="str">
        <f aca="false">IF($A42="","",MIN(Assumptions!$C$10,$F42*Assumptions!$D$15))</f>
        <v/>
      </c>
      <c r="K42" s="49" t="str">
        <f aca="false">IF($A42="","",MIN(1,$G42*Assumptions!$E$15))</f>
        <v/>
      </c>
      <c r="L42" s="50" t="str">
        <f aca="false">IF($A42="","",$C42*K42*(1-(1-J42)^MIN(1,$D42))/(1+$E42)^MIN(1,$D42))</f>
        <v/>
      </c>
      <c r="M42" s="50" t="str">
        <f aca="false">IF($A42="","",$C42*K42*(IF(OR($H42=0,J42=0),0,J42/(1+$E42)*(1-((1-J42)/(1+$E42))^$H42)/(1-(1-J42)/(1+$E42)))+(1-J42)^$H42*(1-(1-J42)^$I42)/(1+$E42)^$D42))</f>
        <v/>
      </c>
      <c r="N42" s="50" t="str">
        <f aca="false">IF($A42="","",IF($B42=3,$C42*K42,IF($B42=2,M42,L42)))</f>
        <v/>
      </c>
      <c r="O42" s="48" t="str">
        <f aca="false">IF($A42="","",MIN(Assumptions!$C$10,$F42*Assumptions!$D$16))</f>
        <v/>
      </c>
      <c r="P42" s="49" t="str">
        <f aca="false">IF($A42="","",MIN(1,$G42*Assumptions!$E$16))</f>
        <v/>
      </c>
      <c r="Q42" s="50" t="str">
        <f aca="false">IF($A42="","",$C42*P42*(1-(1-O42)^MIN(1,$D42))/(1+$E42)^MIN(1,$D42))</f>
        <v/>
      </c>
      <c r="R42" s="50" t="str">
        <f aca="false">IF($A42="","",$C42*P42*(IF(OR($H42=0,O42=0),0,O42/(1+$E42)*(1-((1-O42)/(1+$E42))^$H42)/(1-(1-O42)/(1+$E42)))+(1-O42)^$H42*(1-(1-O42)^$I42)/(1+$E42)^$D42))</f>
        <v/>
      </c>
      <c r="S42" s="50" t="str">
        <f aca="false">IF($A42="","",IF($B42=3,$C42*P42,IF($B42=2,R42,Q42)))</f>
        <v/>
      </c>
      <c r="T42" s="48" t="str">
        <f aca="false">IF($A42="","",MIN(Assumptions!$C$10,$F42*Assumptions!$D$17))</f>
        <v/>
      </c>
      <c r="U42" s="49" t="str">
        <f aca="false">IF($A42="","",MIN(1,$G42*Assumptions!$E$17))</f>
        <v/>
      </c>
      <c r="V42" s="50" t="str">
        <f aca="false">IF($A42="","",$C42*U42*(1-(1-T42)^MIN(1,$D42))/(1+$E42)^MIN(1,$D42))</f>
        <v/>
      </c>
      <c r="W42" s="50" t="str">
        <f aca="false">IF($A42="","",$C42*U42*(IF(OR($H42=0,T42=0),0,T42/(1+$E42)*(1-((1-T42)/(1+$E42))^$H42)/(1-(1-T42)/(1+$E42)))+(1-T42)^$H42*(1-(1-T42)^$I42)/(1+$E42)^$D42))</f>
        <v/>
      </c>
      <c r="X42" s="50" t="str">
        <f aca="false">IF($A42="","",IF($B42=3,$C42*U42,IF($B42=2,W42,V42)))</f>
        <v/>
      </c>
      <c r="Y42" s="50" t="str">
        <f aca="false">IF($A42="","",L42*Assumptions!$C$15+Q42*Assumptions!$C$16+V42*Assumptions!$C$17)</f>
        <v/>
      </c>
      <c r="Z42" s="50" t="str">
        <f aca="false">IF($A42="","",M42*Assumptions!$C$15+R42*Assumptions!$C$16+W42*Assumptions!$C$17)</f>
        <v/>
      </c>
      <c r="AA42" s="50" t="str">
        <f aca="false">IF($A42="","",N42*Assumptions!$C$15+S42*Assumptions!$C$16+X42*Assumptions!$C$17)</f>
        <v/>
      </c>
      <c r="AB42" s="48" t="str">
        <f aca="false">IF($A42="","",IF(C42=0,0,AA42/C42))</f>
        <v/>
      </c>
    </row>
    <row r="43" customFormat="false" ht="15" hidden="false" customHeight="false" outlineLevel="0" collapsed="false">
      <c r="A43" s="40" t="str">
        <f aca="false">IF(Portfolio!A43="","",Portfolio!A43)</f>
        <v/>
      </c>
      <c r="B43" s="41" t="str">
        <f aca="false">IF($A43="","",Portfolio!W43)</f>
        <v/>
      </c>
      <c r="C43" s="42" t="str">
        <f aca="false">IF($A43="","",Portfolio!Q43)</f>
        <v/>
      </c>
      <c r="D43" s="43" t="str">
        <f aca="false">IF($A43="","",Portfolio!R43)</f>
        <v/>
      </c>
      <c r="E43" s="44" t="str">
        <f aca="false">IF($A43="","",Portfolio!H43)</f>
        <v/>
      </c>
      <c r="F43" s="44" t="str">
        <f aca="false">IF($A43="","",Portfolio!X43)</f>
        <v/>
      </c>
      <c r="G43" s="45" t="str">
        <f aca="false">IF($A43="","",Portfolio!Y43)</f>
        <v/>
      </c>
      <c r="H43" s="46" t="str">
        <f aca="false">IF($A43="","",INT(D43))</f>
        <v/>
      </c>
      <c r="I43" s="47" t="str">
        <f aca="false">IF($A43="","",D43-H43)</f>
        <v/>
      </c>
      <c r="J43" s="48" t="str">
        <f aca="false">IF($A43="","",MIN(Assumptions!$C$10,$F43*Assumptions!$D$15))</f>
        <v/>
      </c>
      <c r="K43" s="49" t="str">
        <f aca="false">IF($A43="","",MIN(1,$G43*Assumptions!$E$15))</f>
        <v/>
      </c>
      <c r="L43" s="50" t="str">
        <f aca="false">IF($A43="","",$C43*K43*(1-(1-J43)^MIN(1,$D43))/(1+$E43)^MIN(1,$D43))</f>
        <v/>
      </c>
      <c r="M43" s="50" t="str">
        <f aca="false">IF($A43="","",$C43*K43*(IF(OR($H43=0,J43=0),0,J43/(1+$E43)*(1-((1-J43)/(1+$E43))^$H43)/(1-(1-J43)/(1+$E43)))+(1-J43)^$H43*(1-(1-J43)^$I43)/(1+$E43)^$D43))</f>
        <v/>
      </c>
      <c r="N43" s="50" t="str">
        <f aca="false">IF($A43="","",IF($B43=3,$C43*K43,IF($B43=2,M43,L43)))</f>
        <v/>
      </c>
      <c r="O43" s="48" t="str">
        <f aca="false">IF($A43="","",MIN(Assumptions!$C$10,$F43*Assumptions!$D$16))</f>
        <v/>
      </c>
      <c r="P43" s="49" t="str">
        <f aca="false">IF($A43="","",MIN(1,$G43*Assumptions!$E$16))</f>
        <v/>
      </c>
      <c r="Q43" s="50" t="str">
        <f aca="false">IF($A43="","",$C43*P43*(1-(1-O43)^MIN(1,$D43))/(1+$E43)^MIN(1,$D43))</f>
        <v/>
      </c>
      <c r="R43" s="50" t="str">
        <f aca="false">IF($A43="","",$C43*P43*(IF(OR($H43=0,O43=0),0,O43/(1+$E43)*(1-((1-O43)/(1+$E43))^$H43)/(1-(1-O43)/(1+$E43)))+(1-O43)^$H43*(1-(1-O43)^$I43)/(1+$E43)^$D43))</f>
        <v/>
      </c>
      <c r="S43" s="50" t="str">
        <f aca="false">IF($A43="","",IF($B43=3,$C43*P43,IF($B43=2,R43,Q43)))</f>
        <v/>
      </c>
      <c r="T43" s="48" t="str">
        <f aca="false">IF($A43="","",MIN(Assumptions!$C$10,$F43*Assumptions!$D$17))</f>
        <v/>
      </c>
      <c r="U43" s="49" t="str">
        <f aca="false">IF($A43="","",MIN(1,$G43*Assumptions!$E$17))</f>
        <v/>
      </c>
      <c r="V43" s="50" t="str">
        <f aca="false">IF($A43="","",$C43*U43*(1-(1-T43)^MIN(1,$D43))/(1+$E43)^MIN(1,$D43))</f>
        <v/>
      </c>
      <c r="W43" s="50" t="str">
        <f aca="false">IF($A43="","",$C43*U43*(IF(OR($H43=0,T43=0),0,T43/(1+$E43)*(1-((1-T43)/(1+$E43))^$H43)/(1-(1-T43)/(1+$E43)))+(1-T43)^$H43*(1-(1-T43)^$I43)/(1+$E43)^$D43))</f>
        <v/>
      </c>
      <c r="X43" s="50" t="str">
        <f aca="false">IF($A43="","",IF($B43=3,$C43*U43,IF($B43=2,W43,V43)))</f>
        <v/>
      </c>
      <c r="Y43" s="50" t="str">
        <f aca="false">IF($A43="","",L43*Assumptions!$C$15+Q43*Assumptions!$C$16+V43*Assumptions!$C$17)</f>
        <v/>
      </c>
      <c r="Z43" s="50" t="str">
        <f aca="false">IF($A43="","",M43*Assumptions!$C$15+R43*Assumptions!$C$16+W43*Assumptions!$C$17)</f>
        <v/>
      </c>
      <c r="AA43" s="50" t="str">
        <f aca="false">IF($A43="","",N43*Assumptions!$C$15+S43*Assumptions!$C$16+X43*Assumptions!$C$17)</f>
        <v/>
      </c>
      <c r="AB43" s="48" t="str">
        <f aca="false">IF($A43="","",IF(C43=0,0,AA43/C43))</f>
        <v/>
      </c>
    </row>
    <row r="44" customFormat="false" ht="15" hidden="false" customHeight="false" outlineLevel="0" collapsed="false">
      <c r="A44" s="40" t="str">
        <f aca="false">IF(Portfolio!A44="","",Portfolio!A44)</f>
        <v/>
      </c>
      <c r="B44" s="41" t="str">
        <f aca="false">IF($A44="","",Portfolio!W44)</f>
        <v/>
      </c>
      <c r="C44" s="42" t="str">
        <f aca="false">IF($A44="","",Portfolio!Q44)</f>
        <v/>
      </c>
      <c r="D44" s="43" t="str">
        <f aca="false">IF($A44="","",Portfolio!R44)</f>
        <v/>
      </c>
      <c r="E44" s="44" t="str">
        <f aca="false">IF($A44="","",Portfolio!H44)</f>
        <v/>
      </c>
      <c r="F44" s="44" t="str">
        <f aca="false">IF($A44="","",Portfolio!X44)</f>
        <v/>
      </c>
      <c r="G44" s="45" t="str">
        <f aca="false">IF($A44="","",Portfolio!Y44)</f>
        <v/>
      </c>
      <c r="H44" s="46" t="str">
        <f aca="false">IF($A44="","",INT(D44))</f>
        <v/>
      </c>
      <c r="I44" s="47" t="str">
        <f aca="false">IF($A44="","",D44-H44)</f>
        <v/>
      </c>
      <c r="J44" s="48" t="str">
        <f aca="false">IF($A44="","",MIN(Assumptions!$C$10,$F44*Assumptions!$D$15))</f>
        <v/>
      </c>
      <c r="K44" s="49" t="str">
        <f aca="false">IF($A44="","",MIN(1,$G44*Assumptions!$E$15))</f>
        <v/>
      </c>
      <c r="L44" s="50" t="str">
        <f aca="false">IF($A44="","",$C44*K44*(1-(1-J44)^MIN(1,$D44))/(1+$E44)^MIN(1,$D44))</f>
        <v/>
      </c>
      <c r="M44" s="50" t="str">
        <f aca="false">IF($A44="","",$C44*K44*(IF(OR($H44=0,J44=0),0,J44/(1+$E44)*(1-((1-J44)/(1+$E44))^$H44)/(1-(1-J44)/(1+$E44)))+(1-J44)^$H44*(1-(1-J44)^$I44)/(1+$E44)^$D44))</f>
        <v/>
      </c>
      <c r="N44" s="50" t="str">
        <f aca="false">IF($A44="","",IF($B44=3,$C44*K44,IF($B44=2,M44,L44)))</f>
        <v/>
      </c>
      <c r="O44" s="48" t="str">
        <f aca="false">IF($A44="","",MIN(Assumptions!$C$10,$F44*Assumptions!$D$16))</f>
        <v/>
      </c>
      <c r="P44" s="49" t="str">
        <f aca="false">IF($A44="","",MIN(1,$G44*Assumptions!$E$16))</f>
        <v/>
      </c>
      <c r="Q44" s="50" t="str">
        <f aca="false">IF($A44="","",$C44*P44*(1-(1-O44)^MIN(1,$D44))/(1+$E44)^MIN(1,$D44))</f>
        <v/>
      </c>
      <c r="R44" s="50" t="str">
        <f aca="false">IF($A44="","",$C44*P44*(IF(OR($H44=0,O44=0),0,O44/(1+$E44)*(1-((1-O44)/(1+$E44))^$H44)/(1-(1-O44)/(1+$E44)))+(1-O44)^$H44*(1-(1-O44)^$I44)/(1+$E44)^$D44))</f>
        <v/>
      </c>
      <c r="S44" s="50" t="str">
        <f aca="false">IF($A44="","",IF($B44=3,$C44*P44,IF($B44=2,R44,Q44)))</f>
        <v/>
      </c>
      <c r="T44" s="48" t="str">
        <f aca="false">IF($A44="","",MIN(Assumptions!$C$10,$F44*Assumptions!$D$17))</f>
        <v/>
      </c>
      <c r="U44" s="49" t="str">
        <f aca="false">IF($A44="","",MIN(1,$G44*Assumptions!$E$17))</f>
        <v/>
      </c>
      <c r="V44" s="50" t="str">
        <f aca="false">IF($A44="","",$C44*U44*(1-(1-T44)^MIN(1,$D44))/(1+$E44)^MIN(1,$D44))</f>
        <v/>
      </c>
      <c r="W44" s="50" t="str">
        <f aca="false">IF($A44="","",$C44*U44*(IF(OR($H44=0,T44=0),0,T44/(1+$E44)*(1-((1-T44)/(1+$E44))^$H44)/(1-(1-T44)/(1+$E44)))+(1-T44)^$H44*(1-(1-T44)^$I44)/(1+$E44)^$D44))</f>
        <v/>
      </c>
      <c r="X44" s="50" t="str">
        <f aca="false">IF($A44="","",IF($B44=3,$C44*U44,IF($B44=2,W44,V44)))</f>
        <v/>
      </c>
      <c r="Y44" s="50" t="str">
        <f aca="false">IF($A44="","",L44*Assumptions!$C$15+Q44*Assumptions!$C$16+V44*Assumptions!$C$17)</f>
        <v/>
      </c>
      <c r="Z44" s="50" t="str">
        <f aca="false">IF($A44="","",M44*Assumptions!$C$15+R44*Assumptions!$C$16+W44*Assumptions!$C$17)</f>
        <v/>
      </c>
      <c r="AA44" s="50" t="str">
        <f aca="false">IF($A44="","",N44*Assumptions!$C$15+S44*Assumptions!$C$16+X44*Assumptions!$C$17)</f>
        <v/>
      </c>
      <c r="AB44" s="48" t="str">
        <f aca="false">IF($A44="","",IF(C44=0,0,AA44/C44))</f>
        <v/>
      </c>
    </row>
    <row r="45" customFormat="false" ht="15" hidden="false" customHeight="false" outlineLevel="0" collapsed="false">
      <c r="A45" s="40" t="str">
        <f aca="false">IF(Portfolio!A45="","",Portfolio!A45)</f>
        <v/>
      </c>
      <c r="B45" s="41" t="str">
        <f aca="false">IF($A45="","",Portfolio!W45)</f>
        <v/>
      </c>
      <c r="C45" s="42" t="str">
        <f aca="false">IF($A45="","",Portfolio!Q45)</f>
        <v/>
      </c>
      <c r="D45" s="43" t="str">
        <f aca="false">IF($A45="","",Portfolio!R45)</f>
        <v/>
      </c>
      <c r="E45" s="44" t="str">
        <f aca="false">IF($A45="","",Portfolio!H45)</f>
        <v/>
      </c>
      <c r="F45" s="44" t="str">
        <f aca="false">IF($A45="","",Portfolio!X45)</f>
        <v/>
      </c>
      <c r="G45" s="45" t="str">
        <f aca="false">IF($A45="","",Portfolio!Y45)</f>
        <v/>
      </c>
      <c r="H45" s="46" t="str">
        <f aca="false">IF($A45="","",INT(D45))</f>
        <v/>
      </c>
      <c r="I45" s="47" t="str">
        <f aca="false">IF($A45="","",D45-H45)</f>
        <v/>
      </c>
      <c r="J45" s="48" t="str">
        <f aca="false">IF($A45="","",MIN(Assumptions!$C$10,$F45*Assumptions!$D$15))</f>
        <v/>
      </c>
      <c r="K45" s="49" t="str">
        <f aca="false">IF($A45="","",MIN(1,$G45*Assumptions!$E$15))</f>
        <v/>
      </c>
      <c r="L45" s="50" t="str">
        <f aca="false">IF($A45="","",$C45*K45*(1-(1-J45)^MIN(1,$D45))/(1+$E45)^MIN(1,$D45))</f>
        <v/>
      </c>
      <c r="M45" s="50" t="str">
        <f aca="false">IF($A45="","",$C45*K45*(IF(OR($H45=0,J45=0),0,J45/(1+$E45)*(1-((1-J45)/(1+$E45))^$H45)/(1-(1-J45)/(1+$E45)))+(1-J45)^$H45*(1-(1-J45)^$I45)/(1+$E45)^$D45))</f>
        <v/>
      </c>
      <c r="N45" s="50" t="str">
        <f aca="false">IF($A45="","",IF($B45=3,$C45*K45,IF($B45=2,M45,L45)))</f>
        <v/>
      </c>
      <c r="O45" s="48" t="str">
        <f aca="false">IF($A45="","",MIN(Assumptions!$C$10,$F45*Assumptions!$D$16))</f>
        <v/>
      </c>
      <c r="P45" s="49" t="str">
        <f aca="false">IF($A45="","",MIN(1,$G45*Assumptions!$E$16))</f>
        <v/>
      </c>
      <c r="Q45" s="50" t="str">
        <f aca="false">IF($A45="","",$C45*P45*(1-(1-O45)^MIN(1,$D45))/(1+$E45)^MIN(1,$D45))</f>
        <v/>
      </c>
      <c r="R45" s="50" t="str">
        <f aca="false">IF($A45="","",$C45*P45*(IF(OR($H45=0,O45=0),0,O45/(1+$E45)*(1-((1-O45)/(1+$E45))^$H45)/(1-(1-O45)/(1+$E45)))+(1-O45)^$H45*(1-(1-O45)^$I45)/(1+$E45)^$D45))</f>
        <v/>
      </c>
      <c r="S45" s="50" t="str">
        <f aca="false">IF($A45="","",IF($B45=3,$C45*P45,IF($B45=2,R45,Q45)))</f>
        <v/>
      </c>
      <c r="T45" s="48" t="str">
        <f aca="false">IF($A45="","",MIN(Assumptions!$C$10,$F45*Assumptions!$D$17))</f>
        <v/>
      </c>
      <c r="U45" s="49" t="str">
        <f aca="false">IF($A45="","",MIN(1,$G45*Assumptions!$E$17))</f>
        <v/>
      </c>
      <c r="V45" s="50" t="str">
        <f aca="false">IF($A45="","",$C45*U45*(1-(1-T45)^MIN(1,$D45))/(1+$E45)^MIN(1,$D45))</f>
        <v/>
      </c>
      <c r="W45" s="50" t="str">
        <f aca="false">IF($A45="","",$C45*U45*(IF(OR($H45=0,T45=0),0,T45/(1+$E45)*(1-((1-T45)/(1+$E45))^$H45)/(1-(1-T45)/(1+$E45)))+(1-T45)^$H45*(1-(1-T45)^$I45)/(1+$E45)^$D45))</f>
        <v/>
      </c>
      <c r="X45" s="50" t="str">
        <f aca="false">IF($A45="","",IF($B45=3,$C45*U45,IF($B45=2,W45,V45)))</f>
        <v/>
      </c>
      <c r="Y45" s="50" t="str">
        <f aca="false">IF($A45="","",L45*Assumptions!$C$15+Q45*Assumptions!$C$16+V45*Assumptions!$C$17)</f>
        <v/>
      </c>
      <c r="Z45" s="50" t="str">
        <f aca="false">IF($A45="","",M45*Assumptions!$C$15+R45*Assumptions!$C$16+W45*Assumptions!$C$17)</f>
        <v/>
      </c>
      <c r="AA45" s="50" t="str">
        <f aca="false">IF($A45="","",N45*Assumptions!$C$15+S45*Assumptions!$C$16+X45*Assumptions!$C$17)</f>
        <v/>
      </c>
      <c r="AB45" s="48" t="str">
        <f aca="false">IF($A45="","",IF(C45=0,0,AA45/C45))</f>
        <v/>
      </c>
    </row>
    <row r="46" customFormat="false" ht="15" hidden="false" customHeight="false" outlineLevel="0" collapsed="false">
      <c r="A46" s="40" t="str">
        <f aca="false">IF(Portfolio!A46="","",Portfolio!A46)</f>
        <v/>
      </c>
      <c r="B46" s="41" t="str">
        <f aca="false">IF($A46="","",Portfolio!W46)</f>
        <v/>
      </c>
      <c r="C46" s="42" t="str">
        <f aca="false">IF($A46="","",Portfolio!Q46)</f>
        <v/>
      </c>
      <c r="D46" s="43" t="str">
        <f aca="false">IF($A46="","",Portfolio!R46)</f>
        <v/>
      </c>
      <c r="E46" s="44" t="str">
        <f aca="false">IF($A46="","",Portfolio!H46)</f>
        <v/>
      </c>
      <c r="F46" s="44" t="str">
        <f aca="false">IF($A46="","",Portfolio!X46)</f>
        <v/>
      </c>
      <c r="G46" s="45" t="str">
        <f aca="false">IF($A46="","",Portfolio!Y46)</f>
        <v/>
      </c>
      <c r="H46" s="46" t="str">
        <f aca="false">IF($A46="","",INT(D46))</f>
        <v/>
      </c>
      <c r="I46" s="47" t="str">
        <f aca="false">IF($A46="","",D46-H46)</f>
        <v/>
      </c>
      <c r="J46" s="48" t="str">
        <f aca="false">IF($A46="","",MIN(Assumptions!$C$10,$F46*Assumptions!$D$15))</f>
        <v/>
      </c>
      <c r="K46" s="49" t="str">
        <f aca="false">IF($A46="","",MIN(1,$G46*Assumptions!$E$15))</f>
        <v/>
      </c>
      <c r="L46" s="50" t="str">
        <f aca="false">IF($A46="","",$C46*K46*(1-(1-J46)^MIN(1,$D46))/(1+$E46)^MIN(1,$D46))</f>
        <v/>
      </c>
      <c r="M46" s="50" t="str">
        <f aca="false">IF($A46="","",$C46*K46*(IF(OR($H46=0,J46=0),0,J46/(1+$E46)*(1-((1-J46)/(1+$E46))^$H46)/(1-(1-J46)/(1+$E46)))+(1-J46)^$H46*(1-(1-J46)^$I46)/(1+$E46)^$D46))</f>
        <v/>
      </c>
      <c r="N46" s="50" t="str">
        <f aca="false">IF($A46="","",IF($B46=3,$C46*K46,IF($B46=2,M46,L46)))</f>
        <v/>
      </c>
      <c r="O46" s="48" t="str">
        <f aca="false">IF($A46="","",MIN(Assumptions!$C$10,$F46*Assumptions!$D$16))</f>
        <v/>
      </c>
      <c r="P46" s="49" t="str">
        <f aca="false">IF($A46="","",MIN(1,$G46*Assumptions!$E$16))</f>
        <v/>
      </c>
      <c r="Q46" s="50" t="str">
        <f aca="false">IF($A46="","",$C46*P46*(1-(1-O46)^MIN(1,$D46))/(1+$E46)^MIN(1,$D46))</f>
        <v/>
      </c>
      <c r="R46" s="50" t="str">
        <f aca="false">IF($A46="","",$C46*P46*(IF(OR($H46=0,O46=0),0,O46/(1+$E46)*(1-((1-O46)/(1+$E46))^$H46)/(1-(1-O46)/(1+$E46)))+(1-O46)^$H46*(1-(1-O46)^$I46)/(1+$E46)^$D46))</f>
        <v/>
      </c>
      <c r="S46" s="50" t="str">
        <f aca="false">IF($A46="","",IF($B46=3,$C46*P46,IF($B46=2,R46,Q46)))</f>
        <v/>
      </c>
      <c r="T46" s="48" t="str">
        <f aca="false">IF($A46="","",MIN(Assumptions!$C$10,$F46*Assumptions!$D$17))</f>
        <v/>
      </c>
      <c r="U46" s="49" t="str">
        <f aca="false">IF($A46="","",MIN(1,$G46*Assumptions!$E$17))</f>
        <v/>
      </c>
      <c r="V46" s="50" t="str">
        <f aca="false">IF($A46="","",$C46*U46*(1-(1-T46)^MIN(1,$D46))/(1+$E46)^MIN(1,$D46))</f>
        <v/>
      </c>
      <c r="W46" s="50" t="str">
        <f aca="false">IF($A46="","",$C46*U46*(IF(OR($H46=0,T46=0),0,T46/(1+$E46)*(1-((1-T46)/(1+$E46))^$H46)/(1-(1-T46)/(1+$E46)))+(1-T46)^$H46*(1-(1-T46)^$I46)/(1+$E46)^$D46))</f>
        <v/>
      </c>
      <c r="X46" s="50" t="str">
        <f aca="false">IF($A46="","",IF($B46=3,$C46*U46,IF($B46=2,W46,V46)))</f>
        <v/>
      </c>
      <c r="Y46" s="50" t="str">
        <f aca="false">IF($A46="","",L46*Assumptions!$C$15+Q46*Assumptions!$C$16+V46*Assumptions!$C$17)</f>
        <v/>
      </c>
      <c r="Z46" s="50" t="str">
        <f aca="false">IF($A46="","",M46*Assumptions!$C$15+R46*Assumptions!$C$16+W46*Assumptions!$C$17)</f>
        <v/>
      </c>
      <c r="AA46" s="50" t="str">
        <f aca="false">IF($A46="","",N46*Assumptions!$C$15+S46*Assumptions!$C$16+X46*Assumptions!$C$17)</f>
        <v/>
      </c>
      <c r="AB46" s="48" t="str">
        <f aca="false">IF($A46="","",IF(C46=0,0,AA46/C46))</f>
        <v/>
      </c>
    </row>
    <row r="47" customFormat="false" ht="15" hidden="false" customHeight="false" outlineLevel="0" collapsed="false">
      <c r="A47" s="40" t="str">
        <f aca="false">IF(Portfolio!A47="","",Portfolio!A47)</f>
        <v/>
      </c>
      <c r="B47" s="41" t="str">
        <f aca="false">IF($A47="","",Portfolio!W47)</f>
        <v/>
      </c>
      <c r="C47" s="42" t="str">
        <f aca="false">IF($A47="","",Portfolio!Q47)</f>
        <v/>
      </c>
      <c r="D47" s="43" t="str">
        <f aca="false">IF($A47="","",Portfolio!R47)</f>
        <v/>
      </c>
      <c r="E47" s="44" t="str">
        <f aca="false">IF($A47="","",Portfolio!H47)</f>
        <v/>
      </c>
      <c r="F47" s="44" t="str">
        <f aca="false">IF($A47="","",Portfolio!X47)</f>
        <v/>
      </c>
      <c r="G47" s="45" t="str">
        <f aca="false">IF($A47="","",Portfolio!Y47)</f>
        <v/>
      </c>
      <c r="H47" s="46" t="str">
        <f aca="false">IF($A47="","",INT(D47))</f>
        <v/>
      </c>
      <c r="I47" s="47" t="str">
        <f aca="false">IF($A47="","",D47-H47)</f>
        <v/>
      </c>
      <c r="J47" s="48" t="str">
        <f aca="false">IF($A47="","",MIN(Assumptions!$C$10,$F47*Assumptions!$D$15))</f>
        <v/>
      </c>
      <c r="K47" s="49" t="str">
        <f aca="false">IF($A47="","",MIN(1,$G47*Assumptions!$E$15))</f>
        <v/>
      </c>
      <c r="L47" s="50" t="str">
        <f aca="false">IF($A47="","",$C47*K47*(1-(1-J47)^MIN(1,$D47))/(1+$E47)^MIN(1,$D47))</f>
        <v/>
      </c>
      <c r="M47" s="50" t="str">
        <f aca="false">IF($A47="","",$C47*K47*(IF(OR($H47=0,J47=0),0,J47/(1+$E47)*(1-((1-J47)/(1+$E47))^$H47)/(1-(1-J47)/(1+$E47)))+(1-J47)^$H47*(1-(1-J47)^$I47)/(1+$E47)^$D47))</f>
        <v/>
      </c>
      <c r="N47" s="50" t="str">
        <f aca="false">IF($A47="","",IF($B47=3,$C47*K47,IF($B47=2,M47,L47)))</f>
        <v/>
      </c>
      <c r="O47" s="48" t="str">
        <f aca="false">IF($A47="","",MIN(Assumptions!$C$10,$F47*Assumptions!$D$16))</f>
        <v/>
      </c>
      <c r="P47" s="49" t="str">
        <f aca="false">IF($A47="","",MIN(1,$G47*Assumptions!$E$16))</f>
        <v/>
      </c>
      <c r="Q47" s="50" t="str">
        <f aca="false">IF($A47="","",$C47*P47*(1-(1-O47)^MIN(1,$D47))/(1+$E47)^MIN(1,$D47))</f>
        <v/>
      </c>
      <c r="R47" s="50" t="str">
        <f aca="false">IF($A47="","",$C47*P47*(IF(OR($H47=0,O47=0),0,O47/(1+$E47)*(1-((1-O47)/(1+$E47))^$H47)/(1-(1-O47)/(1+$E47)))+(1-O47)^$H47*(1-(1-O47)^$I47)/(1+$E47)^$D47))</f>
        <v/>
      </c>
      <c r="S47" s="50" t="str">
        <f aca="false">IF($A47="","",IF($B47=3,$C47*P47,IF($B47=2,R47,Q47)))</f>
        <v/>
      </c>
      <c r="T47" s="48" t="str">
        <f aca="false">IF($A47="","",MIN(Assumptions!$C$10,$F47*Assumptions!$D$17))</f>
        <v/>
      </c>
      <c r="U47" s="49" t="str">
        <f aca="false">IF($A47="","",MIN(1,$G47*Assumptions!$E$17))</f>
        <v/>
      </c>
      <c r="V47" s="50" t="str">
        <f aca="false">IF($A47="","",$C47*U47*(1-(1-T47)^MIN(1,$D47))/(1+$E47)^MIN(1,$D47))</f>
        <v/>
      </c>
      <c r="W47" s="50" t="str">
        <f aca="false">IF($A47="","",$C47*U47*(IF(OR($H47=0,T47=0),0,T47/(1+$E47)*(1-((1-T47)/(1+$E47))^$H47)/(1-(1-T47)/(1+$E47)))+(1-T47)^$H47*(1-(1-T47)^$I47)/(1+$E47)^$D47))</f>
        <v/>
      </c>
      <c r="X47" s="50" t="str">
        <f aca="false">IF($A47="","",IF($B47=3,$C47*U47,IF($B47=2,W47,V47)))</f>
        <v/>
      </c>
      <c r="Y47" s="50" t="str">
        <f aca="false">IF($A47="","",L47*Assumptions!$C$15+Q47*Assumptions!$C$16+V47*Assumptions!$C$17)</f>
        <v/>
      </c>
      <c r="Z47" s="50" t="str">
        <f aca="false">IF($A47="","",M47*Assumptions!$C$15+R47*Assumptions!$C$16+W47*Assumptions!$C$17)</f>
        <v/>
      </c>
      <c r="AA47" s="50" t="str">
        <f aca="false">IF($A47="","",N47*Assumptions!$C$15+S47*Assumptions!$C$16+X47*Assumptions!$C$17)</f>
        <v/>
      </c>
      <c r="AB47" s="48" t="str">
        <f aca="false">IF($A47="","",IF(C47=0,0,AA47/C47))</f>
        <v/>
      </c>
    </row>
    <row r="48" customFormat="false" ht="15" hidden="false" customHeight="false" outlineLevel="0" collapsed="false">
      <c r="A48" s="40" t="str">
        <f aca="false">IF(Portfolio!A48="","",Portfolio!A48)</f>
        <v/>
      </c>
      <c r="B48" s="41" t="str">
        <f aca="false">IF($A48="","",Portfolio!W48)</f>
        <v/>
      </c>
      <c r="C48" s="42" t="str">
        <f aca="false">IF($A48="","",Portfolio!Q48)</f>
        <v/>
      </c>
      <c r="D48" s="43" t="str">
        <f aca="false">IF($A48="","",Portfolio!R48)</f>
        <v/>
      </c>
      <c r="E48" s="44" t="str">
        <f aca="false">IF($A48="","",Portfolio!H48)</f>
        <v/>
      </c>
      <c r="F48" s="44" t="str">
        <f aca="false">IF($A48="","",Portfolio!X48)</f>
        <v/>
      </c>
      <c r="G48" s="45" t="str">
        <f aca="false">IF($A48="","",Portfolio!Y48)</f>
        <v/>
      </c>
      <c r="H48" s="46" t="str">
        <f aca="false">IF($A48="","",INT(D48))</f>
        <v/>
      </c>
      <c r="I48" s="47" t="str">
        <f aca="false">IF($A48="","",D48-H48)</f>
        <v/>
      </c>
      <c r="J48" s="48" t="str">
        <f aca="false">IF($A48="","",MIN(Assumptions!$C$10,$F48*Assumptions!$D$15))</f>
        <v/>
      </c>
      <c r="K48" s="49" t="str">
        <f aca="false">IF($A48="","",MIN(1,$G48*Assumptions!$E$15))</f>
        <v/>
      </c>
      <c r="L48" s="50" t="str">
        <f aca="false">IF($A48="","",$C48*K48*(1-(1-J48)^MIN(1,$D48))/(1+$E48)^MIN(1,$D48))</f>
        <v/>
      </c>
      <c r="M48" s="50" t="str">
        <f aca="false">IF($A48="","",$C48*K48*(IF(OR($H48=0,J48=0),0,J48/(1+$E48)*(1-((1-J48)/(1+$E48))^$H48)/(1-(1-J48)/(1+$E48)))+(1-J48)^$H48*(1-(1-J48)^$I48)/(1+$E48)^$D48))</f>
        <v/>
      </c>
      <c r="N48" s="50" t="str">
        <f aca="false">IF($A48="","",IF($B48=3,$C48*K48,IF($B48=2,M48,L48)))</f>
        <v/>
      </c>
      <c r="O48" s="48" t="str">
        <f aca="false">IF($A48="","",MIN(Assumptions!$C$10,$F48*Assumptions!$D$16))</f>
        <v/>
      </c>
      <c r="P48" s="49" t="str">
        <f aca="false">IF($A48="","",MIN(1,$G48*Assumptions!$E$16))</f>
        <v/>
      </c>
      <c r="Q48" s="50" t="str">
        <f aca="false">IF($A48="","",$C48*P48*(1-(1-O48)^MIN(1,$D48))/(1+$E48)^MIN(1,$D48))</f>
        <v/>
      </c>
      <c r="R48" s="50" t="str">
        <f aca="false">IF($A48="","",$C48*P48*(IF(OR($H48=0,O48=0),0,O48/(1+$E48)*(1-((1-O48)/(1+$E48))^$H48)/(1-(1-O48)/(1+$E48)))+(1-O48)^$H48*(1-(1-O48)^$I48)/(1+$E48)^$D48))</f>
        <v/>
      </c>
      <c r="S48" s="50" t="str">
        <f aca="false">IF($A48="","",IF($B48=3,$C48*P48,IF($B48=2,R48,Q48)))</f>
        <v/>
      </c>
      <c r="T48" s="48" t="str">
        <f aca="false">IF($A48="","",MIN(Assumptions!$C$10,$F48*Assumptions!$D$17))</f>
        <v/>
      </c>
      <c r="U48" s="49" t="str">
        <f aca="false">IF($A48="","",MIN(1,$G48*Assumptions!$E$17))</f>
        <v/>
      </c>
      <c r="V48" s="50" t="str">
        <f aca="false">IF($A48="","",$C48*U48*(1-(1-T48)^MIN(1,$D48))/(1+$E48)^MIN(1,$D48))</f>
        <v/>
      </c>
      <c r="W48" s="50" t="str">
        <f aca="false">IF($A48="","",$C48*U48*(IF(OR($H48=0,T48=0),0,T48/(1+$E48)*(1-((1-T48)/(1+$E48))^$H48)/(1-(1-T48)/(1+$E48)))+(1-T48)^$H48*(1-(1-T48)^$I48)/(1+$E48)^$D48))</f>
        <v/>
      </c>
      <c r="X48" s="50" t="str">
        <f aca="false">IF($A48="","",IF($B48=3,$C48*U48,IF($B48=2,W48,V48)))</f>
        <v/>
      </c>
      <c r="Y48" s="50" t="str">
        <f aca="false">IF($A48="","",L48*Assumptions!$C$15+Q48*Assumptions!$C$16+V48*Assumptions!$C$17)</f>
        <v/>
      </c>
      <c r="Z48" s="50" t="str">
        <f aca="false">IF($A48="","",M48*Assumptions!$C$15+R48*Assumptions!$C$16+W48*Assumptions!$C$17)</f>
        <v/>
      </c>
      <c r="AA48" s="50" t="str">
        <f aca="false">IF($A48="","",N48*Assumptions!$C$15+S48*Assumptions!$C$16+X48*Assumptions!$C$17)</f>
        <v/>
      </c>
      <c r="AB48" s="48" t="str">
        <f aca="false">IF($A48="","",IF(C48=0,0,AA48/C48))</f>
        <v/>
      </c>
    </row>
    <row r="49" customFormat="false" ht="15" hidden="false" customHeight="false" outlineLevel="0" collapsed="false">
      <c r="A49" s="40" t="str">
        <f aca="false">IF(Portfolio!A49="","",Portfolio!A49)</f>
        <v/>
      </c>
      <c r="B49" s="41" t="str">
        <f aca="false">IF($A49="","",Portfolio!W49)</f>
        <v/>
      </c>
      <c r="C49" s="42" t="str">
        <f aca="false">IF($A49="","",Portfolio!Q49)</f>
        <v/>
      </c>
      <c r="D49" s="43" t="str">
        <f aca="false">IF($A49="","",Portfolio!R49)</f>
        <v/>
      </c>
      <c r="E49" s="44" t="str">
        <f aca="false">IF($A49="","",Portfolio!H49)</f>
        <v/>
      </c>
      <c r="F49" s="44" t="str">
        <f aca="false">IF($A49="","",Portfolio!X49)</f>
        <v/>
      </c>
      <c r="G49" s="45" t="str">
        <f aca="false">IF($A49="","",Portfolio!Y49)</f>
        <v/>
      </c>
      <c r="H49" s="46" t="str">
        <f aca="false">IF($A49="","",INT(D49))</f>
        <v/>
      </c>
      <c r="I49" s="47" t="str">
        <f aca="false">IF($A49="","",D49-H49)</f>
        <v/>
      </c>
      <c r="J49" s="48" t="str">
        <f aca="false">IF($A49="","",MIN(Assumptions!$C$10,$F49*Assumptions!$D$15))</f>
        <v/>
      </c>
      <c r="K49" s="49" t="str">
        <f aca="false">IF($A49="","",MIN(1,$G49*Assumptions!$E$15))</f>
        <v/>
      </c>
      <c r="L49" s="50" t="str">
        <f aca="false">IF($A49="","",$C49*K49*(1-(1-J49)^MIN(1,$D49))/(1+$E49)^MIN(1,$D49))</f>
        <v/>
      </c>
      <c r="M49" s="50" t="str">
        <f aca="false">IF($A49="","",$C49*K49*(IF(OR($H49=0,J49=0),0,J49/(1+$E49)*(1-((1-J49)/(1+$E49))^$H49)/(1-(1-J49)/(1+$E49)))+(1-J49)^$H49*(1-(1-J49)^$I49)/(1+$E49)^$D49))</f>
        <v/>
      </c>
      <c r="N49" s="50" t="str">
        <f aca="false">IF($A49="","",IF($B49=3,$C49*K49,IF($B49=2,M49,L49)))</f>
        <v/>
      </c>
      <c r="O49" s="48" t="str">
        <f aca="false">IF($A49="","",MIN(Assumptions!$C$10,$F49*Assumptions!$D$16))</f>
        <v/>
      </c>
      <c r="P49" s="49" t="str">
        <f aca="false">IF($A49="","",MIN(1,$G49*Assumptions!$E$16))</f>
        <v/>
      </c>
      <c r="Q49" s="50" t="str">
        <f aca="false">IF($A49="","",$C49*P49*(1-(1-O49)^MIN(1,$D49))/(1+$E49)^MIN(1,$D49))</f>
        <v/>
      </c>
      <c r="R49" s="50" t="str">
        <f aca="false">IF($A49="","",$C49*P49*(IF(OR($H49=0,O49=0),0,O49/(1+$E49)*(1-((1-O49)/(1+$E49))^$H49)/(1-(1-O49)/(1+$E49)))+(1-O49)^$H49*(1-(1-O49)^$I49)/(1+$E49)^$D49))</f>
        <v/>
      </c>
      <c r="S49" s="50" t="str">
        <f aca="false">IF($A49="","",IF($B49=3,$C49*P49,IF($B49=2,R49,Q49)))</f>
        <v/>
      </c>
      <c r="T49" s="48" t="str">
        <f aca="false">IF($A49="","",MIN(Assumptions!$C$10,$F49*Assumptions!$D$17))</f>
        <v/>
      </c>
      <c r="U49" s="49" t="str">
        <f aca="false">IF($A49="","",MIN(1,$G49*Assumptions!$E$17))</f>
        <v/>
      </c>
      <c r="V49" s="50" t="str">
        <f aca="false">IF($A49="","",$C49*U49*(1-(1-T49)^MIN(1,$D49))/(1+$E49)^MIN(1,$D49))</f>
        <v/>
      </c>
      <c r="W49" s="50" t="str">
        <f aca="false">IF($A49="","",$C49*U49*(IF(OR($H49=0,T49=0),0,T49/(1+$E49)*(1-((1-T49)/(1+$E49))^$H49)/(1-(1-T49)/(1+$E49)))+(1-T49)^$H49*(1-(1-T49)^$I49)/(1+$E49)^$D49))</f>
        <v/>
      </c>
      <c r="X49" s="50" t="str">
        <f aca="false">IF($A49="","",IF($B49=3,$C49*U49,IF($B49=2,W49,V49)))</f>
        <v/>
      </c>
      <c r="Y49" s="50" t="str">
        <f aca="false">IF($A49="","",L49*Assumptions!$C$15+Q49*Assumptions!$C$16+V49*Assumptions!$C$17)</f>
        <v/>
      </c>
      <c r="Z49" s="50" t="str">
        <f aca="false">IF($A49="","",M49*Assumptions!$C$15+R49*Assumptions!$C$16+W49*Assumptions!$C$17)</f>
        <v/>
      </c>
      <c r="AA49" s="50" t="str">
        <f aca="false">IF($A49="","",N49*Assumptions!$C$15+S49*Assumptions!$C$16+X49*Assumptions!$C$17)</f>
        <v/>
      </c>
      <c r="AB49" s="48" t="str">
        <f aca="false">IF($A49="","",IF(C49=0,0,AA49/C49))</f>
        <v/>
      </c>
    </row>
    <row r="50" customFormat="false" ht="15" hidden="false" customHeight="false" outlineLevel="0" collapsed="false">
      <c r="A50" s="40" t="str">
        <f aca="false">IF(Portfolio!A50="","",Portfolio!A50)</f>
        <v/>
      </c>
      <c r="B50" s="41" t="str">
        <f aca="false">IF($A50="","",Portfolio!W50)</f>
        <v/>
      </c>
      <c r="C50" s="42" t="str">
        <f aca="false">IF($A50="","",Portfolio!Q50)</f>
        <v/>
      </c>
      <c r="D50" s="43" t="str">
        <f aca="false">IF($A50="","",Portfolio!R50)</f>
        <v/>
      </c>
      <c r="E50" s="44" t="str">
        <f aca="false">IF($A50="","",Portfolio!H50)</f>
        <v/>
      </c>
      <c r="F50" s="44" t="str">
        <f aca="false">IF($A50="","",Portfolio!X50)</f>
        <v/>
      </c>
      <c r="G50" s="45" t="str">
        <f aca="false">IF($A50="","",Portfolio!Y50)</f>
        <v/>
      </c>
      <c r="H50" s="46" t="str">
        <f aca="false">IF($A50="","",INT(D50))</f>
        <v/>
      </c>
      <c r="I50" s="47" t="str">
        <f aca="false">IF($A50="","",D50-H50)</f>
        <v/>
      </c>
      <c r="J50" s="48" t="str">
        <f aca="false">IF($A50="","",MIN(Assumptions!$C$10,$F50*Assumptions!$D$15))</f>
        <v/>
      </c>
      <c r="K50" s="49" t="str">
        <f aca="false">IF($A50="","",MIN(1,$G50*Assumptions!$E$15))</f>
        <v/>
      </c>
      <c r="L50" s="50" t="str">
        <f aca="false">IF($A50="","",$C50*K50*(1-(1-J50)^MIN(1,$D50))/(1+$E50)^MIN(1,$D50))</f>
        <v/>
      </c>
      <c r="M50" s="50" t="str">
        <f aca="false">IF($A50="","",$C50*K50*(IF(OR($H50=0,J50=0),0,J50/(1+$E50)*(1-((1-J50)/(1+$E50))^$H50)/(1-(1-J50)/(1+$E50)))+(1-J50)^$H50*(1-(1-J50)^$I50)/(1+$E50)^$D50))</f>
        <v/>
      </c>
      <c r="N50" s="50" t="str">
        <f aca="false">IF($A50="","",IF($B50=3,$C50*K50,IF($B50=2,M50,L50)))</f>
        <v/>
      </c>
      <c r="O50" s="48" t="str">
        <f aca="false">IF($A50="","",MIN(Assumptions!$C$10,$F50*Assumptions!$D$16))</f>
        <v/>
      </c>
      <c r="P50" s="49" t="str">
        <f aca="false">IF($A50="","",MIN(1,$G50*Assumptions!$E$16))</f>
        <v/>
      </c>
      <c r="Q50" s="50" t="str">
        <f aca="false">IF($A50="","",$C50*P50*(1-(1-O50)^MIN(1,$D50))/(1+$E50)^MIN(1,$D50))</f>
        <v/>
      </c>
      <c r="R50" s="50" t="str">
        <f aca="false">IF($A50="","",$C50*P50*(IF(OR($H50=0,O50=0),0,O50/(1+$E50)*(1-((1-O50)/(1+$E50))^$H50)/(1-(1-O50)/(1+$E50)))+(1-O50)^$H50*(1-(1-O50)^$I50)/(1+$E50)^$D50))</f>
        <v/>
      </c>
      <c r="S50" s="50" t="str">
        <f aca="false">IF($A50="","",IF($B50=3,$C50*P50,IF($B50=2,R50,Q50)))</f>
        <v/>
      </c>
      <c r="T50" s="48" t="str">
        <f aca="false">IF($A50="","",MIN(Assumptions!$C$10,$F50*Assumptions!$D$17))</f>
        <v/>
      </c>
      <c r="U50" s="49" t="str">
        <f aca="false">IF($A50="","",MIN(1,$G50*Assumptions!$E$17))</f>
        <v/>
      </c>
      <c r="V50" s="50" t="str">
        <f aca="false">IF($A50="","",$C50*U50*(1-(1-T50)^MIN(1,$D50))/(1+$E50)^MIN(1,$D50))</f>
        <v/>
      </c>
      <c r="W50" s="50" t="str">
        <f aca="false">IF($A50="","",$C50*U50*(IF(OR($H50=0,T50=0),0,T50/(1+$E50)*(1-((1-T50)/(1+$E50))^$H50)/(1-(1-T50)/(1+$E50)))+(1-T50)^$H50*(1-(1-T50)^$I50)/(1+$E50)^$D50))</f>
        <v/>
      </c>
      <c r="X50" s="50" t="str">
        <f aca="false">IF($A50="","",IF($B50=3,$C50*U50,IF($B50=2,W50,V50)))</f>
        <v/>
      </c>
      <c r="Y50" s="50" t="str">
        <f aca="false">IF($A50="","",L50*Assumptions!$C$15+Q50*Assumptions!$C$16+V50*Assumptions!$C$17)</f>
        <v/>
      </c>
      <c r="Z50" s="50" t="str">
        <f aca="false">IF($A50="","",M50*Assumptions!$C$15+R50*Assumptions!$C$16+W50*Assumptions!$C$17)</f>
        <v/>
      </c>
      <c r="AA50" s="50" t="str">
        <f aca="false">IF($A50="","",N50*Assumptions!$C$15+S50*Assumptions!$C$16+X50*Assumptions!$C$17)</f>
        <v/>
      </c>
      <c r="AB50" s="48" t="str">
        <f aca="false">IF($A50="","",IF(C50=0,0,AA50/C50))</f>
        <v/>
      </c>
    </row>
    <row r="51" customFormat="false" ht="15" hidden="false" customHeight="false" outlineLevel="0" collapsed="false">
      <c r="A51" s="40" t="str">
        <f aca="false">IF(Portfolio!A51="","",Portfolio!A51)</f>
        <v/>
      </c>
      <c r="B51" s="41" t="str">
        <f aca="false">IF($A51="","",Portfolio!W51)</f>
        <v/>
      </c>
      <c r="C51" s="42" t="str">
        <f aca="false">IF($A51="","",Portfolio!Q51)</f>
        <v/>
      </c>
      <c r="D51" s="43" t="str">
        <f aca="false">IF($A51="","",Portfolio!R51)</f>
        <v/>
      </c>
      <c r="E51" s="44" t="str">
        <f aca="false">IF($A51="","",Portfolio!H51)</f>
        <v/>
      </c>
      <c r="F51" s="44" t="str">
        <f aca="false">IF($A51="","",Portfolio!X51)</f>
        <v/>
      </c>
      <c r="G51" s="45" t="str">
        <f aca="false">IF($A51="","",Portfolio!Y51)</f>
        <v/>
      </c>
      <c r="H51" s="46" t="str">
        <f aca="false">IF($A51="","",INT(D51))</f>
        <v/>
      </c>
      <c r="I51" s="47" t="str">
        <f aca="false">IF($A51="","",D51-H51)</f>
        <v/>
      </c>
      <c r="J51" s="48" t="str">
        <f aca="false">IF($A51="","",MIN(Assumptions!$C$10,$F51*Assumptions!$D$15))</f>
        <v/>
      </c>
      <c r="K51" s="49" t="str">
        <f aca="false">IF($A51="","",MIN(1,$G51*Assumptions!$E$15))</f>
        <v/>
      </c>
      <c r="L51" s="50" t="str">
        <f aca="false">IF($A51="","",$C51*K51*(1-(1-J51)^MIN(1,$D51))/(1+$E51)^MIN(1,$D51))</f>
        <v/>
      </c>
      <c r="M51" s="50" t="str">
        <f aca="false">IF($A51="","",$C51*K51*(IF(OR($H51=0,J51=0),0,J51/(1+$E51)*(1-((1-J51)/(1+$E51))^$H51)/(1-(1-J51)/(1+$E51)))+(1-J51)^$H51*(1-(1-J51)^$I51)/(1+$E51)^$D51))</f>
        <v/>
      </c>
      <c r="N51" s="50" t="str">
        <f aca="false">IF($A51="","",IF($B51=3,$C51*K51,IF($B51=2,M51,L51)))</f>
        <v/>
      </c>
      <c r="O51" s="48" t="str">
        <f aca="false">IF($A51="","",MIN(Assumptions!$C$10,$F51*Assumptions!$D$16))</f>
        <v/>
      </c>
      <c r="P51" s="49" t="str">
        <f aca="false">IF($A51="","",MIN(1,$G51*Assumptions!$E$16))</f>
        <v/>
      </c>
      <c r="Q51" s="50" t="str">
        <f aca="false">IF($A51="","",$C51*P51*(1-(1-O51)^MIN(1,$D51))/(1+$E51)^MIN(1,$D51))</f>
        <v/>
      </c>
      <c r="R51" s="50" t="str">
        <f aca="false">IF($A51="","",$C51*P51*(IF(OR($H51=0,O51=0),0,O51/(1+$E51)*(1-((1-O51)/(1+$E51))^$H51)/(1-(1-O51)/(1+$E51)))+(1-O51)^$H51*(1-(1-O51)^$I51)/(1+$E51)^$D51))</f>
        <v/>
      </c>
      <c r="S51" s="50" t="str">
        <f aca="false">IF($A51="","",IF($B51=3,$C51*P51,IF($B51=2,R51,Q51)))</f>
        <v/>
      </c>
      <c r="T51" s="48" t="str">
        <f aca="false">IF($A51="","",MIN(Assumptions!$C$10,$F51*Assumptions!$D$17))</f>
        <v/>
      </c>
      <c r="U51" s="49" t="str">
        <f aca="false">IF($A51="","",MIN(1,$G51*Assumptions!$E$17))</f>
        <v/>
      </c>
      <c r="V51" s="50" t="str">
        <f aca="false">IF($A51="","",$C51*U51*(1-(1-T51)^MIN(1,$D51))/(1+$E51)^MIN(1,$D51))</f>
        <v/>
      </c>
      <c r="W51" s="50" t="str">
        <f aca="false">IF($A51="","",$C51*U51*(IF(OR($H51=0,T51=0),0,T51/(1+$E51)*(1-((1-T51)/(1+$E51))^$H51)/(1-(1-T51)/(1+$E51)))+(1-T51)^$H51*(1-(1-T51)^$I51)/(1+$E51)^$D51))</f>
        <v/>
      </c>
      <c r="X51" s="50" t="str">
        <f aca="false">IF($A51="","",IF($B51=3,$C51*U51,IF($B51=2,W51,V51)))</f>
        <v/>
      </c>
      <c r="Y51" s="50" t="str">
        <f aca="false">IF($A51="","",L51*Assumptions!$C$15+Q51*Assumptions!$C$16+V51*Assumptions!$C$17)</f>
        <v/>
      </c>
      <c r="Z51" s="50" t="str">
        <f aca="false">IF($A51="","",M51*Assumptions!$C$15+R51*Assumptions!$C$16+W51*Assumptions!$C$17)</f>
        <v/>
      </c>
      <c r="AA51" s="50" t="str">
        <f aca="false">IF($A51="","",N51*Assumptions!$C$15+S51*Assumptions!$C$16+X51*Assumptions!$C$17)</f>
        <v/>
      </c>
      <c r="AB51" s="48" t="str">
        <f aca="false">IF($A51="","",IF(C51=0,0,AA51/C51))</f>
        <v/>
      </c>
    </row>
    <row r="52" customFormat="false" ht="15" hidden="false" customHeight="false" outlineLevel="0" collapsed="false">
      <c r="A52" s="40" t="str">
        <f aca="false">IF(Portfolio!A52="","",Portfolio!A52)</f>
        <v/>
      </c>
      <c r="B52" s="41" t="str">
        <f aca="false">IF($A52="","",Portfolio!W52)</f>
        <v/>
      </c>
      <c r="C52" s="42" t="str">
        <f aca="false">IF($A52="","",Portfolio!Q52)</f>
        <v/>
      </c>
      <c r="D52" s="43" t="str">
        <f aca="false">IF($A52="","",Portfolio!R52)</f>
        <v/>
      </c>
      <c r="E52" s="44" t="str">
        <f aca="false">IF($A52="","",Portfolio!H52)</f>
        <v/>
      </c>
      <c r="F52" s="44" t="str">
        <f aca="false">IF($A52="","",Portfolio!X52)</f>
        <v/>
      </c>
      <c r="G52" s="45" t="str">
        <f aca="false">IF($A52="","",Portfolio!Y52)</f>
        <v/>
      </c>
      <c r="H52" s="46" t="str">
        <f aca="false">IF($A52="","",INT(D52))</f>
        <v/>
      </c>
      <c r="I52" s="47" t="str">
        <f aca="false">IF($A52="","",D52-H52)</f>
        <v/>
      </c>
      <c r="J52" s="48" t="str">
        <f aca="false">IF($A52="","",MIN(Assumptions!$C$10,$F52*Assumptions!$D$15))</f>
        <v/>
      </c>
      <c r="K52" s="49" t="str">
        <f aca="false">IF($A52="","",MIN(1,$G52*Assumptions!$E$15))</f>
        <v/>
      </c>
      <c r="L52" s="50" t="str">
        <f aca="false">IF($A52="","",$C52*K52*(1-(1-J52)^MIN(1,$D52))/(1+$E52)^MIN(1,$D52))</f>
        <v/>
      </c>
      <c r="M52" s="50" t="str">
        <f aca="false">IF($A52="","",$C52*K52*(IF(OR($H52=0,J52=0),0,J52/(1+$E52)*(1-((1-J52)/(1+$E52))^$H52)/(1-(1-J52)/(1+$E52)))+(1-J52)^$H52*(1-(1-J52)^$I52)/(1+$E52)^$D52))</f>
        <v/>
      </c>
      <c r="N52" s="50" t="str">
        <f aca="false">IF($A52="","",IF($B52=3,$C52*K52,IF($B52=2,M52,L52)))</f>
        <v/>
      </c>
      <c r="O52" s="48" t="str">
        <f aca="false">IF($A52="","",MIN(Assumptions!$C$10,$F52*Assumptions!$D$16))</f>
        <v/>
      </c>
      <c r="P52" s="49" t="str">
        <f aca="false">IF($A52="","",MIN(1,$G52*Assumptions!$E$16))</f>
        <v/>
      </c>
      <c r="Q52" s="50" t="str">
        <f aca="false">IF($A52="","",$C52*P52*(1-(1-O52)^MIN(1,$D52))/(1+$E52)^MIN(1,$D52))</f>
        <v/>
      </c>
      <c r="R52" s="50" t="str">
        <f aca="false">IF($A52="","",$C52*P52*(IF(OR($H52=0,O52=0),0,O52/(1+$E52)*(1-((1-O52)/(1+$E52))^$H52)/(1-(1-O52)/(1+$E52)))+(1-O52)^$H52*(1-(1-O52)^$I52)/(1+$E52)^$D52))</f>
        <v/>
      </c>
      <c r="S52" s="50" t="str">
        <f aca="false">IF($A52="","",IF($B52=3,$C52*P52,IF($B52=2,R52,Q52)))</f>
        <v/>
      </c>
      <c r="T52" s="48" t="str">
        <f aca="false">IF($A52="","",MIN(Assumptions!$C$10,$F52*Assumptions!$D$17))</f>
        <v/>
      </c>
      <c r="U52" s="49" t="str">
        <f aca="false">IF($A52="","",MIN(1,$G52*Assumptions!$E$17))</f>
        <v/>
      </c>
      <c r="V52" s="50" t="str">
        <f aca="false">IF($A52="","",$C52*U52*(1-(1-T52)^MIN(1,$D52))/(1+$E52)^MIN(1,$D52))</f>
        <v/>
      </c>
      <c r="W52" s="50" t="str">
        <f aca="false">IF($A52="","",$C52*U52*(IF(OR($H52=0,T52=0),0,T52/(1+$E52)*(1-((1-T52)/(1+$E52))^$H52)/(1-(1-T52)/(1+$E52)))+(1-T52)^$H52*(1-(1-T52)^$I52)/(1+$E52)^$D52))</f>
        <v/>
      </c>
      <c r="X52" s="50" t="str">
        <f aca="false">IF($A52="","",IF($B52=3,$C52*U52,IF($B52=2,W52,V52)))</f>
        <v/>
      </c>
      <c r="Y52" s="50" t="str">
        <f aca="false">IF($A52="","",L52*Assumptions!$C$15+Q52*Assumptions!$C$16+V52*Assumptions!$C$17)</f>
        <v/>
      </c>
      <c r="Z52" s="50" t="str">
        <f aca="false">IF($A52="","",M52*Assumptions!$C$15+R52*Assumptions!$C$16+W52*Assumptions!$C$17)</f>
        <v/>
      </c>
      <c r="AA52" s="50" t="str">
        <f aca="false">IF($A52="","",N52*Assumptions!$C$15+S52*Assumptions!$C$16+X52*Assumptions!$C$17)</f>
        <v/>
      </c>
      <c r="AB52" s="48" t="str">
        <f aca="false">IF($A52="","",IF(C52=0,0,AA52/C52))</f>
        <v/>
      </c>
    </row>
    <row r="53" customFormat="false" ht="15" hidden="false" customHeight="false" outlineLevel="0" collapsed="false">
      <c r="A53" s="40" t="str">
        <f aca="false">IF(Portfolio!A53="","",Portfolio!A53)</f>
        <v/>
      </c>
      <c r="B53" s="41" t="str">
        <f aca="false">IF($A53="","",Portfolio!W53)</f>
        <v/>
      </c>
      <c r="C53" s="42" t="str">
        <f aca="false">IF($A53="","",Portfolio!Q53)</f>
        <v/>
      </c>
      <c r="D53" s="43" t="str">
        <f aca="false">IF($A53="","",Portfolio!R53)</f>
        <v/>
      </c>
      <c r="E53" s="44" t="str">
        <f aca="false">IF($A53="","",Portfolio!H53)</f>
        <v/>
      </c>
      <c r="F53" s="44" t="str">
        <f aca="false">IF($A53="","",Portfolio!X53)</f>
        <v/>
      </c>
      <c r="G53" s="45" t="str">
        <f aca="false">IF($A53="","",Portfolio!Y53)</f>
        <v/>
      </c>
      <c r="H53" s="46" t="str">
        <f aca="false">IF($A53="","",INT(D53))</f>
        <v/>
      </c>
      <c r="I53" s="47" t="str">
        <f aca="false">IF($A53="","",D53-H53)</f>
        <v/>
      </c>
      <c r="J53" s="48" t="str">
        <f aca="false">IF($A53="","",MIN(Assumptions!$C$10,$F53*Assumptions!$D$15))</f>
        <v/>
      </c>
      <c r="K53" s="49" t="str">
        <f aca="false">IF($A53="","",MIN(1,$G53*Assumptions!$E$15))</f>
        <v/>
      </c>
      <c r="L53" s="50" t="str">
        <f aca="false">IF($A53="","",$C53*K53*(1-(1-J53)^MIN(1,$D53))/(1+$E53)^MIN(1,$D53))</f>
        <v/>
      </c>
      <c r="M53" s="50" t="str">
        <f aca="false">IF($A53="","",$C53*K53*(IF(OR($H53=0,J53=0),0,J53/(1+$E53)*(1-((1-J53)/(1+$E53))^$H53)/(1-(1-J53)/(1+$E53)))+(1-J53)^$H53*(1-(1-J53)^$I53)/(1+$E53)^$D53))</f>
        <v/>
      </c>
      <c r="N53" s="50" t="str">
        <f aca="false">IF($A53="","",IF($B53=3,$C53*K53,IF($B53=2,M53,L53)))</f>
        <v/>
      </c>
      <c r="O53" s="48" t="str">
        <f aca="false">IF($A53="","",MIN(Assumptions!$C$10,$F53*Assumptions!$D$16))</f>
        <v/>
      </c>
      <c r="P53" s="49" t="str">
        <f aca="false">IF($A53="","",MIN(1,$G53*Assumptions!$E$16))</f>
        <v/>
      </c>
      <c r="Q53" s="50" t="str">
        <f aca="false">IF($A53="","",$C53*P53*(1-(1-O53)^MIN(1,$D53))/(1+$E53)^MIN(1,$D53))</f>
        <v/>
      </c>
      <c r="R53" s="50" t="str">
        <f aca="false">IF($A53="","",$C53*P53*(IF(OR($H53=0,O53=0),0,O53/(1+$E53)*(1-((1-O53)/(1+$E53))^$H53)/(1-(1-O53)/(1+$E53)))+(1-O53)^$H53*(1-(1-O53)^$I53)/(1+$E53)^$D53))</f>
        <v/>
      </c>
      <c r="S53" s="50" t="str">
        <f aca="false">IF($A53="","",IF($B53=3,$C53*P53,IF($B53=2,R53,Q53)))</f>
        <v/>
      </c>
      <c r="T53" s="48" t="str">
        <f aca="false">IF($A53="","",MIN(Assumptions!$C$10,$F53*Assumptions!$D$17))</f>
        <v/>
      </c>
      <c r="U53" s="49" t="str">
        <f aca="false">IF($A53="","",MIN(1,$G53*Assumptions!$E$17))</f>
        <v/>
      </c>
      <c r="V53" s="50" t="str">
        <f aca="false">IF($A53="","",$C53*U53*(1-(1-T53)^MIN(1,$D53))/(1+$E53)^MIN(1,$D53))</f>
        <v/>
      </c>
      <c r="W53" s="50" t="str">
        <f aca="false">IF($A53="","",$C53*U53*(IF(OR($H53=0,T53=0),0,T53/(1+$E53)*(1-((1-T53)/(1+$E53))^$H53)/(1-(1-T53)/(1+$E53)))+(1-T53)^$H53*(1-(1-T53)^$I53)/(1+$E53)^$D53))</f>
        <v/>
      </c>
      <c r="X53" s="50" t="str">
        <f aca="false">IF($A53="","",IF($B53=3,$C53*U53,IF($B53=2,W53,V53)))</f>
        <v/>
      </c>
      <c r="Y53" s="50" t="str">
        <f aca="false">IF($A53="","",L53*Assumptions!$C$15+Q53*Assumptions!$C$16+V53*Assumptions!$C$17)</f>
        <v/>
      </c>
      <c r="Z53" s="50" t="str">
        <f aca="false">IF($A53="","",M53*Assumptions!$C$15+R53*Assumptions!$C$16+W53*Assumptions!$C$17)</f>
        <v/>
      </c>
      <c r="AA53" s="50" t="str">
        <f aca="false">IF($A53="","",N53*Assumptions!$C$15+S53*Assumptions!$C$16+X53*Assumptions!$C$17)</f>
        <v/>
      </c>
      <c r="AB53" s="48" t="str">
        <f aca="false">IF($A53="","",IF(C53=0,0,AA53/C53))</f>
        <v/>
      </c>
    </row>
    <row r="54" customFormat="false" ht="15" hidden="false" customHeight="false" outlineLevel="0" collapsed="false">
      <c r="A54" s="40" t="str">
        <f aca="false">IF(Portfolio!A54="","",Portfolio!A54)</f>
        <v/>
      </c>
      <c r="B54" s="41" t="str">
        <f aca="false">IF($A54="","",Portfolio!W54)</f>
        <v/>
      </c>
      <c r="C54" s="42" t="str">
        <f aca="false">IF($A54="","",Portfolio!Q54)</f>
        <v/>
      </c>
      <c r="D54" s="43" t="str">
        <f aca="false">IF($A54="","",Portfolio!R54)</f>
        <v/>
      </c>
      <c r="E54" s="44" t="str">
        <f aca="false">IF($A54="","",Portfolio!H54)</f>
        <v/>
      </c>
      <c r="F54" s="44" t="str">
        <f aca="false">IF($A54="","",Portfolio!X54)</f>
        <v/>
      </c>
      <c r="G54" s="45" t="str">
        <f aca="false">IF($A54="","",Portfolio!Y54)</f>
        <v/>
      </c>
      <c r="H54" s="46" t="str">
        <f aca="false">IF($A54="","",INT(D54))</f>
        <v/>
      </c>
      <c r="I54" s="47" t="str">
        <f aca="false">IF($A54="","",D54-H54)</f>
        <v/>
      </c>
      <c r="J54" s="48" t="str">
        <f aca="false">IF($A54="","",MIN(Assumptions!$C$10,$F54*Assumptions!$D$15))</f>
        <v/>
      </c>
      <c r="K54" s="49" t="str">
        <f aca="false">IF($A54="","",MIN(1,$G54*Assumptions!$E$15))</f>
        <v/>
      </c>
      <c r="L54" s="50" t="str">
        <f aca="false">IF($A54="","",$C54*K54*(1-(1-J54)^MIN(1,$D54))/(1+$E54)^MIN(1,$D54))</f>
        <v/>
      </c>
      <c r="M54" s="50" t="str">
        <f aca="false">IF($A54="","",$C54*K54*(IF(OR($H54=0,J54=0),0,J54/(1+$E54)*(1-((1-J54)/(1+$E54))^$H54)/(1-(1-J54)/(1+$E54)))+(1-J54)^$H54*(1-(1-J54)^$I54)/(1+$E54)^$D54))</f>
        <v/>
      </c>
      <c r="N54" s="50" t="str">
        <f aca="false">IF($A54="","",IF($B54=3,$C54*K54,IF($B54=2,M54,L54)))</f>
        <v/>
      </c>
      <c r="O54" s="48" t="str">
        <f aca="false">IF($A54="","",MIN(Assumptions!$C$10,$F54*Assumptions!$D$16))</f>
        <v/>
      </c>
      <c r="P54" s="49" t="str">
        <f aca="false">IF($A54="","",MIN(1,$G54*Assumptions!$E$16))</f>
        <v/>
      </c>
      <c r="Q54" s="50" t="str">
        <f aca="false">IF($A54="","",$C54*P54*(1-(1-O54)^MIN(1,$D54))/(1+$E54)^MIN(1,$D54))</f>
        <v/>
      </c>
      <c r="R54" s="50" t="str">
        <f aca="false">IF($A54="","",$C54*P54*(IF(OR($H54=0,O54=0),0,O54/(1+$E54)*(1-((1-O54)/(1+$E54))^$H54)/(1-(1-O54)/(1+$E54)))+(1-O54)^$H54*(1-(1-O54)^$I54)/(1+$E54)^$D54))</f>
        <v/>
      </c>
      <c r="S54" s="50" t="str">
        <f aca="false">IF($A54="","",IF($B54=3,$C54*P54,IF($B54=2,R54,Q54)))</f>
        <v/>
      </c>
      <c r="T54" s="48" t="str">
        <f aca="false">IF($A54="","",MIN(Assumptions!$C$10,$F54*Assumptions!$D$17))</f>
        <v/>
      </c>
      <c r="U54" s="49" t="str">
        <f aca="false">IF($A54="","",MIN(1,$G54*Assumptions!$E$17))</f>
        <v/>
      </c>
      <c r="V54" s="50" t="str">
        <f aca="false">IF($A54="","",$C54*U54*(1-(1-T54)^MIN(1,$D54))/(1+$E54)^MIN(1,$D54))</f>
        <v/>
      </c>
      <c r="W54" s="50" t="str">
        <f aca="false">IF($A54="","",$C54*U54*(IF(OR($H54=0,T54=0),0,T54/(1+$E54)*(1-((1-T54)/(1+$E54))^$H54)/(1-(1-T54)/(1+$E54)))+(1-T54)^$H54*(1-(1-T54)^$I54)/(1+$E54)^$D54))</f>
        <v/>
      </c>
      <c r="X54" s="50" t="str">
        <f aca="false">IF($A54="","",IF($B54=3,$C54*U54,IF($B54=2,W54,V54)))</f>
        <v/>
      </c>
      <c r="Y54" s="50" t="str">
        <f aca="false">IF($A54="","",L54*Assumptions!$C$15+Q54*Assumptions!$C$16+V54*Assumptions!$C$17)</f>
        <v/>
      </c>
      <c r="Z54" s="50" t="str">
        <f aca="false">IF($A54="","",M54*Assumptions!$C$15+R54*Assumptions!$C$16+W54*Assumptions!$C$17)</f>
        <v/>
      </c>
      <c r="AA54" s="50" t="str">
        <f aca="false">IF($A54="","",N54*Assumptions!$C$15+S54*Assumptions!$C$16+X54*Assumptions!$C$17)</f>
        <v/>
      </c>
      <c r="AB54" s="48" t="str">
        <f aca="false">IF($A54="","",IF(C54=0,0,AA54/C54))</f>
        <v/>
      </c>
    </row>
    <row r="55" customFormat="false" ht="15" hidden="false" customHeight="false" outlineLevel="0" collapsed="false">
      <c r="A55" s="40" t="str">
        <f aca="false">IF(Portfolio!A55="","",Portfolio!A55)</f>
        <v/>
      </c>
      <c r="B55" s="41" t="str">
        <f aca="false">IF($A55="","",Portfolio!W55)</f>
        <v/>
      </c>
      <c r="C55" s="42" t="str">
        <f aca="false">IF($A55="","",Portfolio!Q55)</f>
        <v/>
      </c>
      <c r="D55" s="43" t="str">
        <f aca="false">IF($A55="","",Portfolio!R55)</f>
        <v/>
      </c>
      <c r="E55" s="44" t="str">
        <f aca="false">IF($A55="","",Portfolio!H55)</f>
        <v/>
      </c>
      <c r="F55" s="44" t="str">
        <f aca="false">IF($A55="","",Portfolio!X55)</f>
        <v/>
      </c>
      <c r="G55" s="45" t="str">
        <f aca="false">IF($A55="","",Portfolio!Y55)</f>
        <v/>
      </c>
      <c r="H55" s="46" t="str">
        <f aca="false">IF($A55="","",INT(D55))</f>
        <v/>
      </c>
      <c r="I55" s="47" t="str">
        <f aca="false">IF($A55="","",D55-H55)</f>
        <v/>
      </c>
      <c r="J55" s="48" t="str">
        <f aca="false">IF($A55="","",MIN(Assumptions!$C$10,$F55*Assumptions!$D$15))</f>
        <v/>
      </c>
      <c r="K55" s="49" t="str">
        <f aca="false">IF($A55="","",MIN(1,$G55*Assumptions!$E$15))</f>
        <v/>
      </c>
      <c r="L55" s="50" t="str">
        <f aca="false">IF($A55="","",$C55*K55*(1-(1-J55)^MIN(1,$D55))/(1+$E55)^MIN(1,$D55))</f>
        <v/>
      </c>
      <c r="M55" s="50" t="str">
        <f aca="false">IF($A55="","",$C55*K55*(IF(OR($H55=0,J55=0),0,J55/(1+$E55)*(1-((1-J55)/(1+$E55))^$H55)/(1-(1-J55)/(1+$E55)))+(1-J55)^$H55*(1-(1-J55)^$I55)/(1+$E55)^$D55))</f>
        <v/>
      </c>
      <c r="N55" s="50" t="str">
        <f aca="false">IF($A55="","",IF($B55=3,$C55*K55,IF($B55=2,M55,L55)))</f>
        <v/>
      </c>
      <c r="O55" s="48" t="str">
        <f aca="false">IF($A55="","",MIN(Assumptions!$C$10,$F55*Assumptions!$D$16))</f>
        <v/>
      </c>
      <c r="P55" s="49" t="str">
        <f aca="false">IF($A55="","",MIN(1,$G55*Assumptions!$E$16))</f>
        <v/>
      </c>
      <c r="Q55" s="50" t="str">
        <f aca="false">IF($A55="","",$C55*P55*(1-(1-O55)^MIN(1,$D55))/(1+$E55)^MIN(1,$D55))</f>
        <v/>
      </c>
      <c r="R55" s="50" t="str">
        <f aca="false">IF($A55="","",$C55*P55*(IF(OR($H55=0,O55=0),0,O55/(1+$E55)*(1-((1-O55)/(1+$E55))^$H55)/(1-(1-O55)/(1+$E55)))+(1-O55)^$H55*(1-(1-O55)^$I55)/(1+$E55)^$D55))</f>
        <v/>
      </c>
      <c r="S55" s="50" t="str">
        <f aca="false">IF($A55="","",IF($B55=3,$C55*P55,IF($B55=2,R55,Q55)))</f>
        <v/>
      </c>
      <c r="T55" s="48" t="str">
        <f aca="false">IF($A55="","",MIN(Assumptions!$C$10,$F55*Assumptions!$D$17))</f>
        <v/>
      </c>
      <c r="U55" s="49" t="str">
        <f aca="false">IF($A55="","",MIN(1,$G55*Assumptions!$E$17))</f>
        <v/>
      </c>
      <c r="V55" s="50" t="str">
        <f aca="false">IF($A55="","",$C55*U55*(1-(1-T55)^MIN(1,$D55))/(1+$E55)^MIN(1,$D55))</f>
        <v/>
      </c>
      <c r="W55" s="50" t="str">
        <f aca="false">IF($A55="","",$C55*U55*(IF(OR($H55=0,T55=0),0,T55/(1+$E55)*(1-((1-T55)/(1+$E55))^$H55)/(1-(1-T55)/(1+$E55)))+(1-T55)^$H55*(1-(1-T55)^$I55)/(1+$E55)^$D55))</f>
        <v/>
      </c>
      <c r="X55" s="50" t="str">
        <f aca="false">IF($A55="","",IF($B55=3,$C55*U55,IF($B55=2,W55,V55)))</f>
        <v/>
      </c>
      <c r="Y55" s="50" t="str">
        <f aca="false">IF($A55="","",L55*Assumptions!$C$15+Q55*Assumptions!$C$16+V55*Assumptions!$C$17)</f>
        <v/>
      </c>
      <c r="Z55" s="50" t="str">
        <f aca="false">IF($A55="","",M55*Assumptions!$C$15+R55*Assumptions!$C$16+W55*Assumptions!$C$17)</f>
        <v/>
      </c>
      <c r="AA55" s="50" t="str">
        <f aca="false">IF($A55="","",N55*Assumptions!$C$15+S55*Assumptions!$C$16+X55*Assumptions!$C$17)</f>
        <v/>
      </c>
      <c r="AB55" s="48" t="str">
        <f aca="false">IF($A55="","",IF(C55=0,0,AA55/C55))</f>
        <v/>
      </c>
    </row>
    <row r="57" customFormat="false" ht="15" hidden="false" customHeight="false" outlineLevel="0" collapsed="false">
      <c r="A57" s="5" t="s">
        <v>183</v>
      </c>
      <c r="C57" s="51" t="n">
        <f aca="false">SUM(C6:C55)</f>
        <v>41504500</v>
      </c>
      <c r="L57" s="51" t="n">
        <f aca="false">SUM(L6:L55)</f>
        <v>945625.39198649</v>
      </c>
      <c r="M57" s="51" t="n">
        <f aca="false">SUM(M6:M55)</f>
        <v>1042188.14099499</v>
      </c>
      <c r="N57" s="51" t="n">
        <f aca="false">SUM(N6:N55)</f>
        <v>1104154.52505352</v>
      </c>
      <c r="Q57" s="51" t="n">
        <f aca="false">SUM(Q6:Q55)</f>
        <v>718740.954289343</v>
      </c>
      <c r="R57" s="51" t="n">
        <f aca="false">SUM(R6:R55)</f>
        <v>845724.485727981</v>
      </c>
      <c r="S57" s="51" t="n">
        <f aca="false">SUM(S6:S55)</f>
        <v>1018352.41559563</v>
      </c>
      <c r="V57" s="51" t="n">
        <f aca="false">SUM(V6:V55)</f>
        <v>1143698.60279872</v>
      </c>
      <c r="W57" s="51" t="n">
        <f aca="false">SUM(W6:W55)</f>
        <v>1319731.33503064</v>
      </c>
      <c r="X57" s="51" t="n">
        <f aca="false">SUM(X6:X55)</f>
        <v>1380097.5201654</v>
      </c>
      <c r="Y57" s="51" t="n">
        <f aca="false">SUM(Y6:Y55)</f>
        <v>959670.46769073</v>
      </c>
      <c r="Z57" s="51" t="n">
        <f aca="false">SUM(Z6:Z55)</f>
        <v>1086158.36815229</v>
      </c>
      <c r="AA57" s="51" t="n">
        <f aca="false">SUM(AA6:AA55)</f>
        <v>1169777.0016955</v>
      </c>
      <c r="AB57" s="52" t="n">
        <f aca="false">IF(C57=0,0,AA57/C57)</f>
        <v>0.0281843414978016</v>
      </c>
    </row>
  </sheetData>
  <mergeCells count="4">
    <mergeCell ref="J4:N4"/>
    <mergeCell ref="O4:S4"/>
    <mergeCell ref="T4:X4"/>
    <mergeCell ref="Y4:A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B1" s="1" t="s">
        <v>196</v>
      </c>
      <c r="C1" s="53"/>
      <c r="D1" s="53"/>
      <c r="E1" s="53"/>
      <c r="F1" s="53"/>
      <c r="G1" s="53"/>
    </row>
    <row r="2" customFormat="false" ht="15" hidden="false" customHeight="false" outlineLevel="0" collapsed="false">
      <c r="B2" s="5" t="str">
        <f aca="false">"Reporting date: "&amp;TEXT(Assumptions!C3,"dd-mmm-yyyy")&amp;"  |  Currency: "&amp;Assumptions!C4</f>
        <v>Reporting date: 30-Sep-2026  |  Currency: USD</v>
      </c>
      <c r="C2" s="53"/>
      <c r="D2" s="53"/>
      <c r="E2" s="53"/>
      <c r="F2" s="53"/>
      <c r="G2" s="53"/>
    </row>
    <row r="3" customFormat="false" ht="15" hidden="false" customHeight="false" outlineLevel="0" collapsed="false">
      <c r="B3" s="53"/>
      <c r="C3" s="53"/>
      <c r="D3" s="53"/>
      <c r="E3" s="53"/>
      <c r="F3" s="53"/>
      <c r="G3" s="53"/>
    </row>
    <row r="4" customFormat="false" ht="15" hidden="false" customHeight="false" outlineLevel="0" collapsed="false">
      <c r="B4" s="5" t="s">
        <v>197</v>
      </c>
      <c r="C4" s="53"/>
      <c r="D4" s="53"/>
      <c r="E4" s="53"/>
      <c r="F4" s="53"/>
      <c r="G4" s="53"/>
    </row>
    <row r="5" customFormat="false" ht="15" hidden="false" customHeight="false" outlineLevel="0" collapsed="false">
      <c r="B5" s="17" t="s">
        <v>198</v>
      </c>
      <c r="C5" s="17" t="s">
        <v>199</v>
      </c>
      <c r="D5" s="17" t="s">
        <v>147</v>
      </c>
      <c r="E5" s="17" t="s">
        <v>200</v>
      </c>
      <c r="F5" s="17" t="s">
        <v>195</v>
      </c>
      <c r="G5" s="53"/>
    </row>
    <row r="6" customFormat="false" ht="15" hidden="false" customHeight="false" outlineLevel="0" collapsed="false">
      <c r="B6" s="54" t="n">
        <v>1</v>
      </c>
      <c r="C6" s="32" t="n">
        <f aca="false">COUNTIFS(Portfolio!$W$6:$W$55,B6)</f>
        <v>4</v>
      </c>
      <c r="D6" s="30" t="n">
        <f aca="false">SUMIFS(Portfolio!$Q$6:$Q$55,Portfolio!$W$6:$W$55,B6)</f>
        <v>26246500</v>
      </c>
      <c r="E6" s="30" t="n">
        <f aca="false">SUMIFS(Portfolio!$Z$6:$Z$55,Portfolio!$W$6:$W$55,B6)</f>
        <v>7793.19100887186</v>
      </c>
      <c r="F6" s="34" t="n">
        <f aca="false">IF(D6=0,0,E6/D6)</f>
        <v>0.000296923056745542</v>
      </c>
      <c r="G6" s="53" t="s">
        <v>201</v>
      </c>
    </row>
    <row r="7" customFormat="false" ht="15" hidden="false" customHeight="false" outlineLevel="0" collapsed="false">
      <c r="B7" s="54" t="n">
        <v>2</v>
      </c>
      <c r="C7" s="32" t="n">
        <f aca="false">COUNTIFS(Portfolio!$W$6:$W$55,B7)</f>
        <v>3</v>
      </c>
      <c r="D7" s="30" t="n">
        <f aca="false">SUMIFS(Portfolio!$Q$6:$Q$55,Portfolio!$W$6:$W$55,B7)</f>
        <v>13688000</v>
      </c>
      <c r="E7" s="30" t="n">
        <f aca="false">SUMIFS(Portfolio!$Z$6:$Z$55,Portfolio!$W$6:$W$55,B7)</f>
        <v>187013.810686633</v>
      </c>
      <c r="F7" s="34" t="n">
        <f aca="false">IF(D7=0,0,E7/D7)</f>
        <v>0.013662610365768</v>
      </c>
      <c r="G7" s="53" t="s">
        <v>202</v>
      </c>
    </row>
    <row r="8" customFormat="false" ht="15" hidden="false" customHeight="false" outlineLevel="0" collapsed="false">
      <c r="B8" s="54" t="n">
        <v>3</v>
      </c>
      <c r="C8" s="32" t="n">
        <f aca="false">COUNTIFS(Portfolio!$W$6:$W$55,B8)</f>
        <v>1</v>
      </c>
      <c r="D8" s="30" t="n">
        <f aca="false">SUMIFS(Portfolio!$Q$6:$Q$55,Portfolio!$W$6:$W$55,B8)</f>
        <v>1570000</v>
      </c>
      <c r="E8" s="30" t="n">
        <f aca="false">SUMIFS(Portfolio!$Z$6:$Z$55,Portfolio!$W$6:$W$55,B8)</f>
        <v>974970</v>
      </c>
      <c r="F8" s="34" t="n">
        <f aca="false">IF(D8=0,0,E8/D8)</f>
        <v>0.621</v>
      </c>
      <c r="G8" s="53" t="s">
        <v>203</v>
      </c>
    </row>
    <row r="9" customFormat="false" ht="15" hidden="false" customHeight="false" outlineLevel="0" collapsed="false">
      <c r="B9" s="21" t="s">
        <v>183</v>
      </c>
      <c r="C9" s="55" t="n">
        <f aca="false">SUM(C6:C8)</f>
        <v>8</v>
      </c>
      <c r="D9" s="37" t="n">
        <f aca="false">SUM(D6:D8)</f>
        <v>41504500</v>
      </c>
      <c r="E9" s="37" t="n">
        <f aca="false">SUM(E6:E8)</f>
        <v>1169777.0016955</v>
      </c>
      <c r="F9" s="56" t="n">
        <f aca="false">IF(D9=0,0,E9/D9)</f>
        <v>0.0281843414978016</v>
      </c>
      <c r="G9" s="53"/>
    </row>
    <row r="10" customFormat="false" ht="15" hidden="false" customHeight="false" outlineLevel="0" collapsed="false">
      <c r="B10" s="53"/>
      <c r="C10" s="53"/>
      <c r="D10" s="53"/>
      <c r="E10" s="53"/>
      <c r="F10" s="53"/>
      <c r="G10" s="53"/>
    </row>
    <row r="11" customFormat="false" ht="15" hidden="false" customHeight="false" outlineLevel="0" collapsed="false">
      <c r="B11" s="53"/>
      <c r="C11" s="53"/>
      <c r="D11" s="53"/>
      <c r="E11" s="53"/>
      <c r="F11" s="53"/>
      <c r="G11" s="53"/>
    </row>
    <row r="12" customFormat="false" ht="15" hidden="false" customHeight="false" outlineLevel="0" collapsed="false">
      <c r="B12" s="5" t="s">
        <v>204</v>
      </c>
      <c r="C12" s="53"/>
      <c r="D12" s="53"/>
      <c r="E12" s="53"/>
      <c r="F12" s="53"/>
      <c r="G12" s="53"/>
    </row>
    <row r="13" customFormat="false" ht="15" hidden="false" customHeight="false" outlineLevel="0" collapsed="false">
      <c r="B13" s="17" t="s">
        <v>198</v>
      </c>
      <c r="C13" s="17" t="s">
        <v>199</v>
      </c>
      <c r="D13" s="17" t="s">
        <v>147</v>
      </c>
      <c r="E13" s="17" t="s">
        <v>200</v>
      </c>
      <c r="F13" s="17" t="s">
        <v>195</v>
      </c>
      <c r="G13" s="53"/>
    </row>
    <row r="14" customFormat="false" ht="15" hidden="false" customHeight="false" outlineLevel="0" collapsed="false">
      <c r="B14" s="10" t="s">
        <v>111</v>
      </c>
      <c r="C14" s="32" t="n">
        <f aca="false">COUNTIFS(Portfolio!$D$6:$D$55,B14)</f>
        <v>2</v>
      </c>
      <c r="D14" s="30" t="n">
        <f aca="false">SUMIFS(Portfolio!$Q$6:$Q$55,Portfolio!$D$6:$D$55,B14)</f>
        <v>18189000</v>
      </c>
      <c r="E14" s="30" t="n">
        <f aca="false">SUMIFS(Portfolio!$Z$6:$Z$55,Portfolio!$D$6:$D$55,B14)</f>
        <v>2979.08683570649</v>
      </c>
      <c r="F14" s="34" t="n">
        <f aca="false">IF(D14=0,0,E14/D14)</f>
        <v>0.000163785080856918</v>
      </c>
      <c r="G14" s="53"/>
    </row>
    <row r="15" customFormat="false" ht="15" hidden="false" customHeight="false" outlineLevel="0" collapsed="false">
      <c r="B15" s="10" t="s">
        <v>114</v>
      </c>
      <c r="C15" s="32" t="n">
        <f aca="false">COUNTIFS(Portfolio!$D$6:$D$55,B15)</f>
        <v>1</v>
      </c>
      <c r="D15" s="30" t="n">
        <f aca="false">SUMIFS(Portfolio!$Q$6:$Q$55,Portfolio!$D$6:$D$55,B15)</f>
        <v>7590000</v>
      </c>
      <c r="E15" s="30" t="n">
        <f aca="false">SUMIFS(Portfolio!$Z$6:$Z$55,Portfolio!$D$6:$D$55,B15)</f>
        <v>62098.7996834421</v>
      </c>
      <c r="F15" s="34" t="n">
        <f aca="false">IF(D15=0,0,E15/D15)</f>
        <v>0.00818166003734415</v>
      </c>
      <c r="G15" s="53"/>
    </row>
    <row r="16" customFormat="false" ht="15" hidden="false" customHeight="false" outlineLevel="0" collapsed="false">
      <c r="B16" s="10" t="s">
        <v>117</v>
      </c>
      <c r="C16" s="32" t="n">
        <f aca="false">COUNTIFS(Portfolio!$D$6:$D$55,B16)</f>
        <v>1</v>
      </c>
      <c r="D16" s="30" t="n">
        <f aca="false">SUMIFS(Portfolio!$Q$6:$Q$55,Portfolio!$D$6:$D$55,B16)</f>
        <v>4038000</v>
      </c>
      <c r="E16" s="30" t="n">
        <f aca="false">SUMIFS(Portfolio!$Z$6:$Z$55,Portfolio!$D$6:$D$55,B16)</f>
        <v>30194.1059809945</v>
      </c>
      <c r="F16" s="34" t="n">
        <f aca="false">IF(D16=0,0,E16/D16)</f>
        <v>0.00747749033704668</v>
      </c>
      <c r="G16" s="53"/>
    </row>
    <row r="17" customFormat="false" ht="15" hidden="false" customHeight="false" outlineLevel="0" collapsed="false">
      <c r="B17" s="10" t="s">
        <v>120</v>
      </c>
      <c r="C17" s="32" t="n">
        <f aca="false">COUNTIFS(Portfolio!$D$6:$D$55,B17)</f>
        <v>1</v>
      </c>
      <c r="D17" s="30" t="n">
        <f aca="false">SUMIFS(Portfolio!$Q$6:$Q$55,Portfolio!$D$6:$D$55,B17)</f>
        <v>5042000</v>
      </c>
      <c r="E17" s="30" t="n">
        <f aca="false">SUMIFS(Portfolio!$Z$6:$Z$55,Portfolio!$D$6:$D$55,B17)</f>
        <v>3895.08878326986</v>
      </c>
      <c r="F17" s="34" t="n">
        <f aca="false">IF(D17=0,0,E17/D17)</f>
        <v>0.000772528517110247</v>
      </c>
      <c r="G17" s="53"/>
    </row>
    <row r="18" customFormat="false" ht="15" hidden="false" customHeight="false" outlineLevel="0" collapsed="false">
      <c r="B18" s="10" t="s">
        <v>122</v>
      </c>
      <c r="C18" s="32" t="n">
        <f aca="false">COUNTIFS(Portfolio!$D$6:$D$55,B18)</f>
        <v>1</v>
      </c>
      <c r="D18" s="30" t="n">
        <f aca="false">SUMIFS(Portfolio!$Q$6:$Q$55,Portfolio!$D$6:$D$55,B18)</f>
        <v>3015500</v>
      </c>
      <c r="E18" s="30" t="n">
        <f aca="false">SUMIFS(Portfolio!$Z$6:$Z$55,Portfolio!$D$6:$D$55,B18)</f>
        <v>919.015389895505</v>
      </c>
      <c r="F18" s="34" t="n">
        <f aca="false">IF(D18=0,0,E18/D18)</f>
        <v>0.000304763850073124</v>
      </c>
      <c r="G18" s="53"/>
    </row>
    <row r="19" customFormat="false" ht="15" hidden="false" customHeight="false" outlineLevel="0" collapsed="false">
      <c r="B19" s="10" t="s">
        <v>124</v>
      </c>
      <c r="C19" s="32" t="n">
        <f aca="false">COUNTIFS(Portfolio!$D$6:$D$55,B19)</f>
        <v>1</v>
      </c>
      <c r="D19" s="30" t="n">
        <f aca="false">SUMIFS(Portfolio!$Q$6:$Q$55,Portfolio!$D$6:$D$55,B19)</f>
        <v>1570000</v>
      </c>
      <c r="E19" s="30" t="n">
        <f aca="false">SUMIFS(Portfolio!$Z$6:$Z$55,Portfolio!$D$6:$D$55,B19)</f>
        <v>974970</v>
      </c>
      <c r="F19" s="34" t="n">
        <f aca="false">IF(D19=0,0,E19/D19)</f>
        <v>0.621</v>
      </c>
      <c r="G19" s="53"/>
    </row>
    <row r="20" customFormat="false" ht="15" hidden="false" customHeight="false" outlineLevel="0" collapsed="false">
      <c r="B20" s="10" t="s">
        <v>127</v>
      </c>
      <c r="C20" s="32" t="n">
        <f aca="false">COUNTIFS(Portfolio!$D$6:$D$55,B20)</f>
        <v>1</v>
      </c>
      <c r="D20" s="30" t="n">
        <f aca="false">SUMIFS(Portfolio!$Q$6:$Q$55,Portfolio!$D$6:$D$55,B20)</f>
        <v>2060000</v>
      </c>
      <c r="E20" s="30" t="n">
        <f aca="false">SUMIFS(Portfolio!$Z$6:$Z$55,Portfolio!$D$6:$D$55,B20)</f>
        <v>94720.9050221962</v>
      </c>
      <c r="F20" s="34" t="n">
        <f aca="false">IF(D20=0,0,E20/D20)</f>
        <v>0.045981021855435</v>
      </c>
      <c r="G20" s="53"/>
    </row>
    <row r="21" customFormat="false" ht="15" hidden="false" customHeight="false" outlineLevel="0" collapsed="false">
      <c r="B21" s="21" t="s">
        <v>183</v>
      </c>
      <c r="C21" s="55" t="n">
        <f aca="false">SUM(C14:C20)</f>
        <v>8</v>
      </c>
      <c r="D21" s="37" t="n">
        <f aca="false">SUM(D14:D20)</f>
        <v>41504500</v>
      </c>
      <c r="E21" s="37" t="n">
        <f aca="false">SUM(E14:E20)</f>
        <v>1169777.0016955</v>
      </c>
      <c r="F21" s="56" t="n">
        <f aca="false">IF(D21=0,0,E21/D21)</f>
        <v>0.0281843414978016</v>
      </c>
      <c r="G21" s="53"/>
    </row>
    <row r="22" customFormat="false" ht="15" hidden="false" customHeight="false" outlineLevel="0" collapsed="false">
      <c r="B22" s="53"/>
      <c r="C22" s="53"/>
      <c r="D22" s="53"/>
      <c r="E22" s="53"/>
      <c r="F22" s="53"/>
      <c r="G22" s="53"/>
    </row>
    <row r="23" customFormat="false" ht="15" hidden="false" customHeight="false" outlineLevel="0" collapsed="false">
      <c r="B23" s="53"/>
      <c r="C23" s="53"/>
      <c r="D23" s="53"/>
      <c r="E23" s="53"/>
      <c r="F23" s="53"/>
      <c r="G23" s="53"/>
    </row>
    <row r="24" customFormat="false" ht="15" hidden="false" customHeight="false" outlineLevel="0" collapsed="false">
      <c r="B24" s="5" t="s">
        <v>205</v>
      </c>
      <c r="C24" s="53"/>
      <c r="D24" s="53"/>
      <c r="E24" s="53"/>
      <c r="F24" s="53"/>
      <c r="G24" s="53"/>
    </row>
    <row r="25" customFormat="false" ht="15" hidden="false" customHeight="false" outlineLevel="0" collapsed="false">
      <c r="B25" s="17" t="s">
        <v>198</v>
      </c>
      <c r="C25" s="17" t="s">
        <v>199</v>
      </c>
      <c r="D25" s="17" t="s">
        <v>147</v>
      </c>
      <c r="E25" s="17" t="s">
        <v>200</v>
      </c>
      <c r="F25" s="17" t="s">
        <v>195</v>
      </c>
      <c r="G25" s="53"/>
    </row>
    <row r="26" customFormat="false" ht="15" hidden="false" customHeight="false" outlineLevel="0" collapsed="false">
      <c r="B26" s="10" t="s">
        <v>159</v>
      </c>
      <c r="C26" s="32" t="n">
        <f aca="false">COUNTIFS(Portfolio!$E$6:$E$55,B26)</f>
        <v>6</v>
      </c>
      <c r="D26" s="30" t="n">
        <f aca="false">SUMIFS(Portfolio!$Q$6:$Q$55,Portfolio!$E$6:$E$55,B26)</f>
        <v>32424500</v>
      </c>
      <c r="E26" s="30" t="n">
        <f aca="false">SUMIFS(Portfolio!$Z$6:$Z$55,Portfolio!$E$6:$E$55,B26)</f>
        <v>1135687.80693124</v>
      </c>
      <c r="F26" s="34" t="n">
        <f aca="false">IF(D26=0,0,E26/D26)</f>
        <v>0.0350256073935216</v>
      </c>
      <c r="G26" s="53" t="s">
        <v>206</v>
      </c>
    </row>
    <row r="27" customFormat="false" ht="15" hidden="false" customHeight="false" outlineLevel="0" collapsed="false">
      <c r="B27" s="10" t="s">
        <v>164</v>
      </c>
      <c r="C27" s="32" t="n">
        <f aca="false">COUNTIFS(Portfolio!$E$6:$E$55,B27)</f>
        <v>2</v>
      </c>
      <c r="D27" s="30" t="n">
        <f aca="false">SUMIFS(Portfolio!$Q$6:$Q$55,Portfolio!$E$6:$E$55,B27)</f>
        <v>9080000</v>
      </c>
      <c r="E27" s="30" t="n">
        <f aca="false">SUMIFS(Portfolio!$Z$6:$Z$55,Portfolio!$E$6:$E$55,B27)</f>
        <v>34089.1947642644</v>
      </c>
      <c r="F27" s="34" t="n">
        <f aca="false">IF(D27=0,0,E27/D27)</f>
        <v>0.00375431660399387</v>
      </c>
      <c r="G27" s="53" t="s">
        <v>207</v>
      </c>
    </row>
    <row r="28" customFormat="false" ht="15" hidden="false" customHeight="false" outlineLevel="0" collapsed="false">
      <c r="B28" s="21" t="s">
        <v>183</v>
      </c>
      <c r="C28" s="55" t="n">
        <f aca="false">SUM(C26:C27)</f>
        <v>8</v>
      </c>
      <c r="D28" s="37" t="n">
        <f aca="false">SUM(D26:D27)</f>
        <v>41504500</v>
      </c>
      <c r="E28" s="37" t="n">
        <f aca="false">SUM(E26:E27)</f>
        <v>1169777.0016955</v>
      </c>
      <c r="F28" s="56" t="n">
        <f aca="false">IF(D28=0,0,E28/D28)</f>
        <v>0.0281843414978016</v>
      </c>
      <c r="G28" s="53"/>
    </row>
    <row r="29" customFormat="false" ht="15" hidden="false" customHeight="false" outlineLevel="0" collapsed="false">
      <c r="B29" s="53"/>
      <c r="C29" s="53"/>
      <c r="D29" s="53"/>
      <c r="E29" s="53"/>
      <c r="F29" s="53"/>
      <c r="G29" s="53"/>
    </row>
    <row r="30" customFormat="false" ht="15" hidden="false" customHeight="false" outlineLevel="0" collapsed="false">
      <c r="B30" s="53"/>
      <c r="C30" s="53"/>
      <c r="D30" s="53"/>
      <c r="E30" s="53"/>
      <c r="F30" s="53"/>
      <c r="G30" s="53"/>
    </row>
    <row r="31" customFormat="false" ht="15" hidden="false" customHeight="false" outlineLevel="0" collapsed="false">
      <c r="B31" s="5" t="s">
        <v>208</v>
      </c>
      <c r="C31" s="53"/>
      <c r="D31" s="53"/>
      <c r="E31" s="53"/>
      <c r="F31" s="53"/>
      <c r="G31" s="53"/>
    </row>
    <row r="32" customFormat="false" ht="15" hidden="false" customHeight="false" outlineLevel="0" collapsed="false">
      <c r="B32" s="17" t="s">
        <v>72</v>
      </c>
      <c r="C32" s="17" t="s">
        <v>73</v>
      </c>
      <c r="D32" s="17"/>
      <c r="E32" s="17" t="s">
        <v>200</v>
      </c>
      <c r="F32" s="17" t="s">
        <v>209</v>
      </c>
      <c r="G32" s="53"/>
    </row>
    <row r="33" customFormat="false" ht="15" hidden="false" customHeight="false" outlineLevel="0" collapsed="false">
      <c r="B33" s="57" t="str">
        <f aca="false">Assumptions!B15</f>
        <v>Base</v>
      </c>
      <c r="C33" s="58" t="n">
        <f aca="false">Assumptions!C15</f>
        <v>0.5</v>
      </c>
      <c r="D33" s="53"/>
      <c r="E33" s="36" t="n">
        <f aca="false">ECL_Calc!N57</f>
        <v>1104154.52505352</v>
      </c>
      <c r="F33" s="35" t="n">
        <f aca="false">IF($E$36=0,0,E33/$E$36-1)</f>
        <v>-0.0560982790282875</v>
      </c>
      <c r="G33" s="53"/>
    </row>
    <row r="34" customFormat="false" ht="15" hidden="false" customHeight="false" outlineLevel="0" collapsed="false">
      <c r="B34" s="57" t="str">
        <f aca="false">Assumptions!B16</f>
        <v>Upside</v>
      </c>
      <c r="C34" s="58" t="n">
        <f aca="false">Assumptions!C16</f>
        <v>0.2</v>
      </c>
      <c r="D34" s="53"/>
      <c r="E34" s="36" t="n">
        <f aca="false">ECL_Calc!S57</f>
        <v>1018352.41559563</v>
      </c>
      <c r="F34" s="35" t="n">
        <f aca="false">IF($E$36=0,0,E34/$E$36-1)</f>
        <v>-0.12944739542699</v>
      </c>
      <c r="G34" s="53"/>
    </row>
    <row r="35" customFormat="false" ht="15" hidden="false" customHeight="false" outlineLevel="0" collapsed="false">
      <c r="B35" s="57" t="str">
        <f aca="false">Assumptions!B17</f>
        <v>Downside</v>
      </c>
      <c r="C35" s="58" t="n">
        <f aca="false">Assumptions!C17</f>
        <v>0.3</v>
      </c>
      <c r="D35" s="53"/>
      <c r="E35" s="36" t="n">
        <f aca="false">ECL_Calc!X57</f>
        <v>1380097.5201654</v>
      </c>
      <c r="F35" s="35" t="n">
        <f aca="false">IF($E$36=0,0,E35/$E$36-1)</f>
        <v>0.179795395331805</v>
      </c>
      <c r="G35" s="53"/>
    </row>
    <row r="36" customFormat="false" ht="15" hidden="false" customHeight="false" outlineLevel="0" collapsed="false">
      <c r="B36" s="21" t="s">
        <v>186</v>
      </c>
      <c r="C36" s="22" t="n">
        <f aca="false">SUM(C33:C35)</f>
        <v>1</v>
      </c>
      <c r="D36" s="53"/>
      <c r="E36" s="37" t="n">
        <f aca="false">ECL_Calc!AA57</f>
        <v>1169777.0016955</v>
      </c>
      <c r="F36" s="53"/>
      <c r="G36" s="53"/>
    </row>
    <row r="37" customFormat="false" ht="15" hidden="false" customHeight="false" outlineLevel="0" collapsed="false">
      <c r="B37" s="53"/>
      <c r="C37" s="53"/>
      <c r="D37" s="53"/>
      <c r="E37" s="53"/>
      <c r="F37" s="53"/>
      <c r="G37" s="53"/>
    </row>
    <row r="38" customFormat="false" ht="15" hidden="false" customHeight="false" outlineLevel="0" collapsed="false">
      <c r="B38" s="53"/>
      <c r="C38" s="53"/>
      <c r="D38" s="53"/>
      <c r="E38" s="53"/>
      <c r="F38" s="53"/>
      <c r="G38" s="53"/>
    </row>
    <row r="39" customFormat="false" ht="15" hidden="false" customHeight="false" outlineLevel="0" collapsed="false">
      <c r="B39" s="5" t="s">
        <v>210</v>
      </c>
      <c r="C39" s="53"/>
      <c r="D39" s="53"/>
      <c r="E39" s="53"/>
      <c r="F39" s="53"/>
      <c r="G39" s="53"/>
    </row>
    <row r="40" customFormat="false" ht="15" hidden="false" customHeight="false" outlineLevel="0" collapsed="false">
      <c r="B40" s="17" t="s">
        <v>211</v>
      </c>
      <c r="C40" s="17" t="s">
        <v>212</v>
      </c>
      <c r="D40" s="17"/>
      <c r="E40" s="17"/>
      <c r="F40" s="17" t="s">
        <v>213</v>
      </c>
      <c r="G40" s="53"/>
    </row>
    <row r="41" customFormat="false" ht="15" hidden="false" customHeight="false" outlineLevel="0" collapsed="false">
      <c r="B41" s="10" t="s">
        <v>214</v>
      </c>
      <c r="C41" s="35" t="n">
        <f aca="false">Assumptions!C18</f>
        <v>1</v>
      </c>
      <c r="D41" s="53"/>
      <c r="E41" s="53"/>
      <c r="F41" s="21" t="str">
        <f aca="false">IF(ROUND(C41,6)=1,"OK","ERROR")</f>
        <v>OK</v>
      </c>
      <c r="G41" s="53"/>
    </row>
    <row r="42" customFormat="false" ht="15" hidden="false" customHeight="false" outlineLevel="0" collapsed="false">
      <c r="B42" s="10" t="s">
        <v>215</v>
      </c>
      <c r="C42" s="32" t="n">
        <f aca="false">SUMPRODUCT((Portfolio!$A$6:$A$55&lt;&gt;"")*ISNA(Portfolio!$T$6:$T$55))+SUMPRODUCT((Portfolio!$A$6:$A$55&lt;&gt;"")*ISNA(Portfolio!$S$6:$S$55))</f>
        <v>0</v>
      </c>
      <c r="D42" s="53"/>
      <c r="E42" s="53"/>
      <c r="F42" s="21" t="str">
        <f aca="false">IF(C42=0,"OK","ERROR")</f>
        <v>OK</v>
      </c>
      <c r="G42" s="53"/>
    </row>
    <row r="43" customFormat="false" ht="15" hidden="false" customHeight="false" outlineLevel="0" collapsed="false">
      <c r="B43" s="10" t="s">
        <v>216</v>
      </c>
      <c r="C43" s="32" t="n">
        <f aca="false">SUMPRODUCT((Portfolio!$A$6:$A$55&lt;&gt;"")*ISNA(Portfolio!$Y$6:$Y$55))</f>
        <v>0</v>
      </c>
      <c r="D43" s="53"/>
      <c r="E43" s="53"/>
      <c r="F43" s="21" t="str">
        <f aca="false">IF(C43=0,"OK","ERROR")</f>
        <v>OK</v>
      </c>
      <c r="G43" s="53"/>
    </row>
    <row r="44" customFormat="false" ht="15" hidden="false" customHeight="false" outlineLevel="0" collapsed="false">
      <c r="B44" s="10" t="s">
        <v>217</v>
      </c>
      <c r="C44" s="32" t="n">
        <f aca="false">COUNTIFS(Portfolio!$A$6:$A$55,"&lt;&gt;",Portfolio!$R$6:$R$55,0)</f>
        <v>0</v>
      </c>
      <c r="D44" s="53"/>
      <c r="E44" s="53"/>
      <c r="F44" s="21" t="str">
        <f aca="false">IF(C44=0,"OK","REVIEW")</f>
        <v>OK</v>
      </c>
      <c r="G44" s="53"/>
    </row>
    <row r="45" customFormat="false" ht="15" hidden="false" customHeight="false" outlineLevel="0" collapsed="false">
      <c r="B45" s="10" t="s">
        <v>218</v>
      </c>
      <c r="C45" s="30" t="n">
        <f aca="false">D9-Portfolio!Q57</f>
        <v>0</v>
      </c>
      <c r="D45" s="53"/>
      <c r="E45" s="53"/>
      <c r="F45" s="21" t="str">
        <f aca="false">IF(ABS(C45)&lt;0.5,"OK","ERROR")</f>
        <v>OK</v>
      </c>
      <c r="G45" s="53"/>
    </row>
    <row r="46" customFormat="false" ht="15" hidden="false" customHeight="false" outlineLevel="0" collapsed="false">
      <c r="B46" s="10" t="s">
        <v>219</v>
      </c>
      <c r="C46" s="30" t="n">
        <f aca="false">Check_Schedule!D9</f>
        <v>0</v>
      </c>
      <c r="D46" s="53"/>
      <c r="E46" s="53"/>
      <c r="F46" s="21" t="str">
        <f aca="false">IF(ABS(C46)&lt;0.5,"OK","ERROR")</f>
        <v>OK</v>
      </c>
      <c r="G46" s="53"/>
    </row>
    <row r="47" customFormat="false" ht="15" hidden="false" customHeight="false" outlineLevel="0" collapsed="false">
      <c r="B47" s="10" t="s">
        <v>220</v>
      </c>
      <c r="C47" s="32" t="n">
        <f aca="false">COUNTIFS(Portfolio!$A$6:$A$55,"&lt;&gt;",Portfolio!$O$6:$O$55,"&lt;&gt;")</f>
        <v>0</v>
      </c>
      <c r="D47" s="53"/>
      <c r="E47" s="53"/>
      <c r="F47" s="21" t="str">
        <f aca="false">IF(C47=0,"OK","REVIEW")</f>
        <v>OK</v>
      </c>
      <c r="G47" s="53"/>
    </row>
  </sheetData>
  <conditionalFormatting sqref="F41">
    <cfRule type="cellIs" priority="2" operator="equal" aboveAverage="0" equalAverage="0" bottom="0" percent="0" rank="0" text="" dxfId="0">
      <formula>"ERROR"</formula>
    </cfRule>
    <cfRule type="cellIs" priority="3" operator="equal" aboveAverage="0" equalAverage="0" bottom="0" percent="0" rank="0" text="" dxfId="1">
      <formula>"REVIEW"</formula>
    </cfRule>
  </conditionalFormatting>
  <conditionalFormatting sqref="F42">
    <cfRule type="cellIs" priority="4" operator="equal" aboveAverage="0" equalAverage="0" bottom="0" percent="0" rank="0" text="" dxfId="0">
      <formula>"ERROR"</formula>
    </cfRule>
    <cfRule type="cellIs" priority="5" operator="equal" aboveAverage="0" equalAverage="0" bottom="0" percent="0" rank="0" text="" dxfId="1">
      <formula>"REVIEW"</formula>
    </cfRule>
  </conditionalFormatting>
  <conditionalFormatting sqref="F43">
    <cfRule type="cellIs" priority="6" operator="equal" aboveAverage="0" equalAverage="0" bottom="0" percent="0" rank="0" text="" dxfId="0">
      <formula>"ERROR"</formula>
    </cfRule>
    <cfRule type="cellIs" priority="7" operator="equal" aboveAverage="0" equalAverage="0" bottom="0" percent="0" rank="0" text="" dxfId="1">
      <formula>"REVIEW"</formula>
    </cfRule>
  </conditionalFormatting>
  <conditionalFormatting sqref="F44">
    <cfRule type="cellIs" priority="8" operator="equal" aboveAverage="0" equalAverage="0" bottom="0" percent="0" rank="0" text="" dxfId="0">
      <formula>"ERROR"</formula>
    </cfRule>
    <cfRule type="cellIs" priority="9" operator="equal" aboveAverage="0" equalAverage="0" bottom="0" percent="0" rank="0" text="" dxfId="1">
      <formula>"REVIEW"</formula>
    </cfRule>
  </conditionalFormatting>
  <conditionalFormatting sqref="F45">
    <cfRule type="cellIs" priority="10" operator="equal" aboveAverage="0" equalAverage="0" bottom="0" percent="0" rank="0" text="" dxfId="0">
      <formula>"ERROR"</formula>
    </cfRule>
    <cfRule type="cellIs" priority="11" operator="equal" aboveAverage="0" equalAverage="0" bottom="0" percent="0" rank="0" text="" dxfId="1">
      <formula>"REVIEW"</formula>
    </cfRule>
  </conditionalFormatting>
  <conditionalFormatting sqref="F46">
    <cfRule type="cellIs" priority="12" operator="equal" aboveAverage="0" equalAverage="0" bottom="0" percent="0" rank="0" text="" dxfId="0">
      <formula>"ERROR"</formula>
    </cfRule>
    <cfRule type="cellIs" priority="13" operator="equal" aboveAverage="0" equalAverage="0" bottom="0" percent="0" rank="0" text="" dxfId="1">
      <formula>"REVIEW"</formula>
    </cfRule>
  </conditionalFormatting>
  <conditionalFormatting sqref="F47">
    <cfRule type="cellIs" priority="14" operator="equal" aboveAverage="0" equalAverage="0" bottom="0" percent="0" rank="0" text="" dxfId="0">
      <formula>"ERROR"</formula>
    </cfRule>
    <cfRule type="cellIs" priority="15" operator="equal" aboveAverage="0" equalAverage="0" bottom="0" percent="0" rank="0" text="" dxfId="1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12" min="5" style="0" width="13"/>
  </cols>
  <sheetData>
    <row r="1" customFormat="false" ht="17.35" hidden="false" customHeight="false" outlineLevel="0" collapsed="false">
      <c r="B1" s="1" t="s">
        <v>221</v>
      </c>
    </row>
    <row r="3" customFormat="false" ht="15" hidden="false" customHeight="false" outlineLevel="0" collapsed="false">
      <c r="B3" s="21" t="s">
        <v>222</v>
      </c>
      <c r="C3" s="13" t="s">
        <v>165</v>
      </c>
      <c r="D3" s="38" t="s">
        <v>223</v>
      </c>
    </row>
    <row r="4" customFormat="false" ht="15" hidden="false" customHeight="false" outlineLevel="0" collapsed="false">
      <c r="B4" s="10" t="s">
        <v>224</v>
      </c>
      <c r="C4" s="32" t="n">
        <f aca="false">MATCH(C3,Portfolio!$A$6:$A$55,0)</f>
        <v>3</v>
      </c>
    </row>
    <row r="5" customFormat="false" ht="15" hidden="false" customHeight="false" outlineLevel="0" collapsed="false">
      <c r="B5" s="10" t="s">
        <v>147</v>
      </c>
      <c r="C5" s="36" t="n">
        <f aca="false">INDEX(ECL_Calc!$C$6:$C$55,C4)</f>
        <v>7590000</v>
      </c>
    </row>
    <row r="6" customFormat="false" ht="15" hidden="false" customHeight="false" outlineLevel="0" collapsed="false">
      <c r="B6" s="10" t="s">
        <v>187</v>
      </c>
      <c r="C6" s="59" t="n">
        <f aca="false">INDEX(ECL_Calc!$D$6:$D$55,C4)</f>
        <v>4.13963039014374</v>
      </c>
    </row>
    <row r="7" customFormat="false" ht="15" hidden="false" customHeight="false" outlineLevel="0" collapsed="false">
      <c r="B7" s="10" t="s">
        <v>188</v>
      </c>
      <c r="C7" s="60" t="n">
        <f aca="false">INDEX(ECL_Calc!$E$6:$E$55,C4)</f>
        <v>0.061</v>
      </c>
    </row>
    <row r="8" customFormat="false" ht="15" hidden="false" customHeight="false" outlineLevel="0" collapsed="false">
      <c r="B8" s="10" t="s">
        <v>225</v>
      </c>
      <c r="C8" s="37" t="n">
        <f aca="false">C12*Assumptions!C15+D12*Assumptions!C16+E12*Assumptions!C17</f>
        <v>62098.7996834419</v>
      </c>
      <c r="D8" s="21" t="s">
        <v>226</v>
      </c>
    </row>
    <row r="9" customFormat="false" ht="15" hidden="false" customHeight="false" outlineLevel="0" collapsed="false">
      <c r="B9" s="10" t="s">
        <v>227</v>
      </c>
      <c r="C9" s="36" t="n">
        <f aca="false">INDEX(ECL_Calc!$Z$6:$Z$55,C4)</f>
        <v>62098.7996834421</v>
      </c>
      <c r="D9" s="37" t="n">
        <f aca="false">C8-C9</f>
        <v>0</v>
      </c>
    </row>
    <row r="10" customFormat="false" ht="15" hidden="false" customHeight="false" outlineLevel="0" collapsed="false">
      <c r="B10" s="10" t="s">
        <v>72</v>
      </c>
      <c r="C10" s="57" t="str">
        <f aca="false">Assumptions!B15</f>
        <v>Base</v>
      </c>
      <c r="D10" s="57" t="str">
        <f aca="false">Assumptions!B16</f>
        <v>Upside</v>
      </c>
      <c r="E10" s="57" t="str">
        <f aca="false">Assumptions!B17</f>
        <v>Downside</v>
      </c>
    </row>
    <row r="11" customFormat="false" ht="15" hidden="false" customHeight="false" outlineLevel="0" collapsed="false">
      <c r="B11" s="10" t="s">
        <v>31</v>
      </c>
      <c r="C11" s="60" t="n">
        <f aca="false">INDEX(ECL_Calc!$J$6:$J$55,$C$4)</f>
        <v>0.0055</v>
      </c>
      <c r="D11" s="60" t="n">
        <f aca="false">INDEX(ECL_Calc!$O$6:$O$55,$C$4)</f>
        <v>0.0044</v>
      </c>
      <c r="E11" s="60" t="n">
        <f aca="false">INDEX(ECL_Calc!$T$6:$T$55,$C$4)</f>
        <v>0.0088</v>
      </c>
    </row>
    <row r="12" customFormat="false" ht="15" hidden="false" customHeight="false" outlineLevel="0" collapsed="false">
      <c r="B12" s="10" t="s">
        <v>228</v>
      </c>
      <c r="C12" s="37" t="n">
        <f aca="false">SUM(F17:F56)</f>
        <v>51682.7954892015</v>
      </c>
      <c r="D12" s="37" t="n">
        <f aca="false">SUM(H17:H56)</f>
        <v>39343.4625485722</v>
      </c>
      <c r="E12" s="37" t="n">
        <f aca="false">SUM(J17:J56)</f>
        <v>94629.0314304222</v>
      </c>
    </row>
    <row r="13" customFormat="false" ht="15" hidden="false" customHeight="false" outlineLevel="0" collapsed="false">
      <c r="B13" s="10" t="s">
        <v>33</v>
      </c>
      <c r="C13" s="58" t="n">
        <f aca="false">INDEX(ECL_Calc!$K$6:$K$55,$C$4)</f>
        <v>0.35</v>
      </c>
      <c r="D13" s="58" t="n">
        <f aca="false">INDEX(ECL_Calc!$P$6:$P$55,$C$4)</f>
        <v>0.3325</v>
      </c>
      <c r="E13" s="58" t="n">
        <f aca="false">INDEX(ECL_Calc!$U$6:$U$55,$C$4)</f>
        <v>0.4025</v>
      </c>
    </row>
    <row r="16" customFormat="false" ht="30" hidden="false" customHeight="true" outlineLevel="0" collapsed="false">
      <c r="B16" s="17" t="s">
        <v>229</v>
      </c>
      <c r="C16" s="17" t="s">
        <v>230</v>
      </c>
      <c r="D16" s="17" t="s">
        <v>231</v>
      </c>
      <c r="E16" s="17" t="s">
        <v>232</v>
      </c>
      <c r="F16" s="17" t="s">
        <v>233</v>
      </c>
      <c r="G16" s="17" t="s">
        <v>234</v>
      </c>
      <c r="H16" s="17" t="s">
        <v>235</v>
      </c>
      <c r="I16" s="17" t="s">
        <v>236</v>
      </c>
      <c r="J16" s="17" t="s">
        <v>237</v>
      </c>
    </row>
    <row r="17" customFormat="false" ht="15" hidden="false" customHeight="false" outlineLevel="0" collapsed="false">
      <c r="B17" s="32" t="n">
        <v>1</v>
      </c>
      <c r="C17" s="61" t="n">
        <f aca="false">MAX(0,MIN(1,$C$6-(B17-1)))</f>
        <v>1</v>
      </c>
      <c r="D17" s="62" t="n">
        <f aca="false">IF(C17=0,0,1/(1+$C$7)^(B17-1+C17))</f>
        <v>0.942507068803016</v>
      </c>
      <c r="E17" s="34" t="n">
        <f aca="false">IF(C17=0,0,(1-$C$11)^(B17-1)*(1-(1-$C$11)^C17))</f>
        <v>0.00549999999999995</v>
      </c>
      <c r="F17" s="30" t="n">
        <f aca="false">$C$5*$C$13*E17*D17</f>
        <v>13770.7351555135</v>
      </c>
      <c r="G17" s="34" t="n">
        <f aca="false">IF(C17=0,0,(1-$D$11)^(B17-1)*(1-(1-$D$11)^C17))</f>
        <v>0.00439999999999996</v>
      </c>
      <c r="H17" s="30" t="n">
        <f aca="false">$C$5*$D$13*G17*D17</f>
        <v>10465.7587181903</v>
      </c>
      <c r="I17" s="34" t="n">
        <f aca="false">IF(C17=0,0,(1-$E$11)^(B17-1)*(1-(1-$E$11)^C17))</f>
        <v>0.00880000000000003</v>
      </c>
      <c r="J17" s="30" t="n">
        <f aca="false">$C$5*$E$13*I17*D17</f>
        <v>25338.1526861452</v>
      </c>
    </row>
    <row r="18" customFormat="false" ht="15" hidden="false" customHeight="false" outlineLevel="0" collapsed="false">
      <c r="B18" s="32" t="n">
        <v>2</v>
      </c>
      <c r="C18" s="61" t="n">
        <f aca="false">MAX(0,MIN(1,$C$6-(B18-1)))</f>
        <v>1</v>
      </c>
      <c r="D18" s="62" t="n">
        <f aca="false">IF(C18=0,0,1/(1+$C$7)^(B18-1+C18))</f>
        <v>0.888319574743653</v>
      </c>
      <c r="E18" s="34" t="n">
        <f aca="false">IF(C18=0,0,(1-$C$11)^(B18-1)*(1-(1-$C$11)^C18))</f>
        <v>0.00546974999999995</v>
      </c>
      <c r="F18" s="30" t="n">
        <f aca="false">$C$5*$C$13*E18*D18</f>
        <v>12907.6306429389</v>
      </c>
      <c r="G18" s="34" t="n">
        <f aca="false">IF(C18=0,0,(1-$D$11)^(B18-1)*(1-(1-$D$11)^C18))</f>
        <v>0.00438063999999996</v>
      </c>
      <c r="H18" s="30" t="n">
        <f aca="false">$C$5*$D$13*G18*D18</f>
        <v>9820.6497453631</v>
      </c>
      <c r="I18" s="34" t="n">
        <f aca="false">IF(C18=0,0,(1-$E$11)^(B18-1)*(1-(1-$E$11)^C18))</f>
        <v>0.00872256000000003</v>
      </c>
      <c r="J18" s="30" t="n">
        <f aca="false">$C$5*$E$13*I18*D18</f>
        <v>23671.2318025515</v>
      </c>
    </row>
    <row r="19" customFormat="false" ht="15" hidden="false" customHeight="false" outlineLevel="0" collapsed="false">
      <c r="B19" s="32" t="n">
        <v>3</v>
      </c>
      <c r="C19" s="61" t="n">
        <f aca="false">MAX(0,MIN(1,$C$6-(B19-1)))</f>
        <v>1</v>
      </c>
      <c r="D19" s="62" t="n">
        <f aca="false">IF(C19=0,0,1/(1+$C$7)^(B19-1+C19))</f>
        <v>0.837247478551982</v>
      </c>
      <c r="E19" s="34" t="n">
        <f aca="false">IF(C19=0,0,(1-$C$11)^(B19-1)*(1-(1-$C$11)^C19))</f>
        <v>0.00543966637499995</v>
      </c>
      <c r="F19" s="30" t="n">
        <f aca="false">$C$5*$C$13*E19*D19</f>
        <v>12098.6226902948</v>
      </c>
      <c r="G19" s="34" t="n">
        <f aca="false">IF(C19=0,0,(1-$D$11)^(B19-1)*(1-(1-$D$11)^C19))</f>
        <v>0.00436136518399996</v>
      </c>
      <c r="H19" s="30" t="n">
        <f aca="false">$C$5*$D$13*G19*D19</f>
        <v>9215.30526530019</v>
      </c>
      <c r="I19" s="34" t="n">
        <f aca="false">IF(C19=0,0,(1-$E$11)^(B19-1)*(1-(1-$E$11)^C19))</f>
        <v>0.00864580147200003</v>
      </c>
      <c r="J19" s="30" t="n">
        <f aca="false">$C$5*$E$13*I19*D19</f>
        <v>22113.9726321292</v>
      </c>
    </row>
    <row r="20" customFormat="false" ht="15" hidden="false" customHeight="false" outlineLevel="0" collapsed="false">
      <c r="B20" s="32" t="n">
        <v>4</v>
      </c>
      <c r="C20" s="61" t="n">
        <f aca="false">MAX(0,MIN(1,$C$6-(B20-1)))</f>
        <v>1</v>
      </c>
      <c r="D20" s="62" t="n">
        <f aca="false">IF(C20=0,0,1/(1+$C$7)^(B20-1+C20))</f>
        <v>0.789111666872745</v>
      </c>
      <c r="E20" s="34" t="n">
        <f aca="false">IF(C20=0,0,(1-$C$11)^(B20-1)*(1-(1-$C$11)^C20))</f>
        <v>0.00540974820993745</v>
      </c>
      <c r="F20" s="30" t="n">
        <f aca="false">$C$5*$C$13*E20*D20</f>
        <v>11340.3207026373</v>
      </c>
      <c r="G20" s="34" t="n">
        <f aca="false">IF(C20=0,0,(1-$D$11)^(B20-1)*(1-(1-$D$11)^C20))</f>
        <v>0.00434217517719036</v>
      </c>
      <c r="H20" s="30" t="n">
        <f aca="false">$C$5*$D$13*G20*D20</f>
        <v>8647.27419616671</v>
      </c>
      <c r="I20" s="34" t="n">
        <f aca="false">IF(C20=0,0,(1-$E$11)^(B20-1)*(1-(1-$E$11)^C20))</f>
        <v>0.00856971841904643</v>
      </c>
      <c r="J20" s="30" t="n">
        <f aca="false">$C$5*$E$13*I20*D20</f>
        <v>20659.1608604773</v>
      </c>
    </row>
    <row r="21" customFormat="false" ht="15" hidden="false" customHeight="false" outlineLevel="0" collapsed="false">
      <c r="B21" s="32" t="n">
        <v>5</v>
      </c>
      <c r="C21" s="61" t="n">
        <f aca="false">MAX(0,MIN(1,$C$6-(B21-1)))</f>
        <v>0.139630390143737</v>
      </c>
      <c r="D21" s="62" t="n">
        <f aca="false">IF(C21=0,0,1/(1+$C$7)^(B21-1+C21))</f>
        <v>0.782614365237635</v>
      </c>
      <c r="E21" s="34" t="n">
        <f aca="false">IF(C21=0,0,(1-$C$11)^(B21-1)*(1-(1-$C$11)^C21))</f>
        <v>0.000752994207205427</v>
      </c>
      <c r="F21" s="30" t="n">
        <f aca="false">$C$5*$C$13*E21*D21</f>
        <v>1565.48629781693</v>
      </c>
      <c r="G21" s="34" t="n">
        <f aca="false">IF(C21=0,0,(1-$D$11)^(B21-1)*(1-(1-$D$11)^C21))</f>
        <v>0.000604777585518672</v>
      </c>
      <c r="H21" s="30" t="n">
        <f aca="false">$C$5*$D$13*G21*D21</f>
        <v>1194.47462355191</v>
      </c>
      <c r="I21" s="34" t="n">
        <f aca="false">IF(C21=0,0,(1-$E$11)^(B21-1)*(1-(1-$E$11)^C21))</f>
        <v>0.00119057775593877</v>
      </c>
      <c r="J21" s="30" t="n">
        <f aca="false">$C$5*$E$13*I21*D21</f>
        <v>2846.51344911898</v>
      </c>
    </row>
    <row r="22" customFormat="false" ht="15" hidden="false" customHeight="false" outlineLevel="0" collapsed="false">
      <c r="B22" s="32" t="n">
        <v>6</v>
      </c>
      <c r="C22" s="61" t="n">
        <f aca="false">MAX(0,MIN(1,$C$6-(B22-1)))</f>
        <v>0</v>
      </c>
      <c r="D22" s="62" t="n">
        <f aca="false">IF(C22=0,0,1/(1+$C$7)^(B22-1+C22))</f>
        <v>0</v>
      </c>
      <c r="E22" s="34" t="n">
        <f aca="false">IF(C22=0,0,(1-$C$11)^(B22-1)*(1-(1-$C$11)^C22))</f>
        <v>0</v>
      </c>
      <c r="F22" s="30" t="n">
        <f aca="false">$C$5*$C$13*E22*D22</f>
        <v>0</v>
      </c>
      <c r="G22" s="34" t="n">
        <f aca="false">IF(C22=0,0,(1-$D$11)^(B22-1)*(1-(1-$D$11)^C22))</f>
        <v>0</v>
      </c>
      <c r="H22" s="30" t="n">
        <f aca="false">$C$5*$D$13*G22*D22</f>
        <v>0</v>
      </c>
      <c r="I22" s="34" t="n">
        <f aca="false">IF(C22=0,0,(1-$E$11)^(B22-1)*(1-(1-$E$11)^C22))</f>
        <v>0</v>
      </c>
      <c r="J22" s="30" t="n">
        <f aca="false">$C$5*$E$13*I22*D22</f>
        <v>0</v>
      </c>
    </row>
    <row r="23" customFormat="false" ht="15" hidden="false" customHeight="false" outlineLevel="0" collapsed="false">
      <c r="B23" s="32" t="n">
        <v>7</v>
      </c>
      <c r="C23" s="61" t="n">
        <f aca="false">MAX(0,MIN(1,$C$6-(B23-1)))</f>
        <v>0</v>
      </c>
      <c r="D23" s="62" t="n">
        <f aca="false">IF(C23=0,0,1/(1+$C$7)^(B23-1+C23))</f>
        <v>0</v>
      </c>
      <c r="E23" s="34" t="n">
        <f aca="false">IF(C23=0,0,(1-$C$11)^(B23-1)*(1-(1-$C$11)^C23))</f>
        <v>0</v>
      </c>
      <c r="F23" s="30" t="n">
        <f aca="false">$C$5*$C$13*E23*D23</f>
        <v>0</v>
      </c>
      <c r="G23" s="34" t="n">
        <f aca="false">IF(C23=0,0,(1-$D$11)^(B23-1)*(1-(1-$D$11)^C23))</f>
        <v>0</v>
      </c>
      <c r="H23" s="30" t="n">
        <f aca="false">$C$5*$D$13*G23*D23</f>
        <v>0</v>
      </c>
      <c r="I23" s="34" t="n">
        <f aca="false">IF(C23=0,0,(1-$E$11)^(B23-1)*(1-(1-$E$11)^C23))</f>
        <v>0</v>
      </c>
      <c r="J23" s="30" t="n">
        <f aca="false">$C$5*$E$13*I23*D23</f>
        <v>0</v>
      </c>
    </row>
    <row r="24" customFormat="false" ht="15" hidden="false" customHeight="false" outlineLevel="0" collapsed="false">
      <c r="B24" s="32" t="n">
        <v>8</v>
      </c>
      <c r="C24" s="61" t="n">
        <f aca="false">MAX(0,MIN(1,$C$6-(B24-1)))</f>
        <v>0</v>
      </c>
      <c r="D24" s="62" t="n">
        <f aca="false">IF(C24=0,0,1/(1+$C$7)^(B24-1+C24))</f>
        <v>0</v>
      </c>
      <c r="E24" s="34" t="n">
        <f aca="false">IF(C24=0,0,(1-$C$11)^(B24-1)*(1-(1-$C$11)^C24))</f>
        <v>0</v>
      </c>
      <c r="F24" s="30" t="n">
        <f aca="false">$C$5*$C$13*E24*D24</f>
        <v>0</v>
      </c>
      <c r="G24" s="34" t="n">
        <f aca="false">IF(C24=0,0,(1-$D$11)^(B24-1)*(1-(1-$D$11)^C24))</f>
        <v>0</v>
      </c>
      <c r="H24" s="30" t="n">
        <f aca="false">$C$5*$D$13*G24*D24</f>
        <v>0</v>
      </c>
      <c r="I24" s="34" t="n">
        <f aca="false">IF(C24=0,0,(1-$E$11)^(B24-1)*(1-(1-$E$11)^C24))</f>
        <v>0</v>
      </c>
      <c r="J24" s="30" t="n">
        <f aca="false">$C$5*$E$13*I24*D24</f>
        <v>0</v>
      </c>
    </row>
    <row r="25" customFormat="false" ht="15" hidden="false" customHeight="false" outlineLevel="0" collapsed="false">
      <c r="B25" s="32" t="n">
        <v>9</v>
      </c>
      <c r="C25" s="61" t="n">
        <f aca="false">MAX(0,MIN(1,$C$6-(B25-1)))</f>
        <v>0</v>
      </c>
      <c r="D25" s="62" t="n">
        <f aca="false">IF(C25=0,0,1/(1+$C$7)^(B25-1+C25))</f>
        <v>0</v>
      </c>
      <c r="E25" s="34" t="n">
        <f aca="false">IF(C25=0,0,(1-$C$11)^(B25-1)*(1-(1-$C$11)^C25))</f>
        <v>0</v>
      </c>
      <c r="F25" s="30" t="n">
        <f aca="false">$C$5*$C$13*E25*D25</f>
        <v>0</v>
      </c>
      <c r="G25" s="34" t="n">
        <f aca="false">IF(C25=0,0,(1-$D$11)^(B25-1)*(1-(1-$D$11)^C25))</f>
        <v>0</v>
      </c>
      <c r="H25" s="30" t="n">
        <f aca="false">$C$5*$D$13*G25*D25</f>
        <v>0</v>
      </c>
      <c r="I25" s="34" t="n">
        <f aca="false">IF(C25=0,0,(1-$E$11)^(B25-1)*(1-(1-$E$11)^C25))</f>
        <v>0</v>
      </c>
      <c r="J25" s="30" t="n">
        <f aca="false">$C$5*$E$13*I25*D25</f>
        <v>0</v>
      </c>
    </row>
    <row r="26" customFormat="false" ht="15" hidden="false" customHeight="false" outlineLevel="0" collapsed="false">
      <c r="B26" s="32" t="n">
        <v>10</v>
      </c>
      <c r="C26" s="61" t="n">
        <f aca="false">MAX(0,MIN(1,$C$6-(B26-1)))</f>
        <v>0</v>
      </c>
      <c r="D26" s="62" t="n">
        <f aca="false">IF(C26=0,0,1/(1+$C$7)^(B26-1+C26))</f>
        <v>0</v>
      </c>
      <c r="E26" s="34" t="n">
        <f aca="false">IF(C26=0,0,(1-$C$11)^(B26-1)*(1-(1-$C$11)^C26))</f>
        <v>0</v>
      </c>
      <c r="F26" s="30" t="n">
        <f aca="false">$C$5*$C$13*E26*D26</f>
        <v>0</v>
      </c>
      <c r="G26" s="34" t="n">
        <f aca="false">IF(C26=0,0,(1-$D$11)^(B26-1)*(1-(1-$D$11)^C26))</f>
        <v>0</v>
      </c>
      <c r="H26" s="30" t="n">
        <f aca="false">$C$5*$D$13*G26*D26</f>
        <v>0</v>
      </c>
      <c r="I26" s="34" t="n">
        <f aca="false">IF(C26=0,0,(1-$E$11)^(B26-1)*(1-(1-$E$11)^C26))</f>
        <v>0</v>
      </c>
      <c r="J26" s="30" t="n">
        <f aca="false">$C$5*$E$13*I26*D26</f>
        <v>0</v>
      </c>
    </row>
    <row r="27" customFormat="false" ht="15" hidden="false" customHeight="false" outlineLevel="0" collapsed="false">
      <c r="B27" s="32" t="n">
        <v>11</v>
      </c>
      <c r="C27" s="61" t="n">
        <f aca="false">MAX(0,MIN(1,$C$6-(B27-1)))</f>
        <v>0</v>
      </c>
      <c r="D27" s="62" t="n">
        <f aca="false">IF(C27=0,0,1/(1+$C$7)^(B27-1+C27))</f>
        <v>0</v>
      </c>
      <c r="E27" s="34" t="n">
        <f aca="false">IF(C27=0,0,(1-$C$11)^(B27-1)*(1-(1-$C$11)^C27))</f>
        <v>0</v>
      </c>
      <c r="F27" s="30" t="n">
        <f aca="false">$C$5*$C$13*E27*D27</f>
        <v>0</v>
      </c>
      <c r="G27" s="34" t="n">
        <f aca="false">IF(C27=0,0,(1-$D$11)^(B27-1)*(1-(1-$D$11)^C27))</f>
        <v>0</v>
      </c>
      <c r="H27" s="30" t="n">
        <f aca="false">$C$5*$D$13*G27*D27</f>
        <v>0</v>
      </c>
      <c r="I27" s="34" t="n">
        <f aca="false">IF(C27=0,0,(1-$E$11)^(B27-1)*(1-(1-$E$11)^C27))</f>
        <v>0</v>
      </c>
      <c r="J27" s="30" t="n">
        <f aca="false">$C$5*$E$13*I27*D27</f>
        <v>0</v>
      </c>
    </row>
    <row r="28" customFormat="false" ht="15" hidden="false" customHeight="false" outlineLevel="0" collapsed="false">
      <c r="B28" s="32" t="n">
        <v>12</v>
      </c>
      <c r="C28" s="61" t="n">
        <f aca="false">MAX(0,MIN(1,$C$6-(B28-1)))</f>
        <v>0</v>
      </c>
      <c r="D28" s="62" t="n">
        <f aca="false">IF(C28=0,0,1/(1+$C$7)^(B28-1+C28))</f>
        <v>0</v>
      </c>
      <c r="E28" s="34" t="n">
        <f aca="false">IF(C28=0,0,(1-$C$11)^(B28-1)*(1-(1-$C$11)^C28))</f>
        <v>0</v>
      </c>
      <c r="F28" s="30" t="n">
        <f aca="false">$C$5*$C$13*E28*D28</f>
        <v>0</v>
      </c>
      <c r="G28" s="34" t="n">
        <f aca="false">IF(C28=0,0,(1-$D$11)^(B28-1)*(1-(1-$D$11)^C28))</f>
        <v>0</v>
      </c>
      <c r="H28" s="30" t="n">
        <f aca="false">$C$5*$D$13*G28*D28</f>
        <v>0</v>
      </c>
      <c r="I28" s="34" t="n">
        <f aca="false">IF(C28=0,0,(1-$E$11)^(B28-1)*(1-(1-$E$11)^C28))</f>
        <v>0</v>
      </c>
      <c r="J28" s="30" t="n">
        <f aca="false">$C$5*$E$13*I28*D28</f>
        <v>0</v>
      </c>
    </row>
    <row r="29" customFormat="false" ht="15" hidden="false" customHeight="false" outlineLevel="0" collapsed="false">
      <c r="B29" s="32" t="n">
        <v>13</v>
      </c>
      <c r="C29" s="61" t="n">
        <f aca="false">MAX(0,MIN(1,$C$6-(B29-1)))</f>
        <v>0</v>
      </c>
      <c r="D29" s="62" t="n">
        <f aca="false">IF(C29=0,0,1/(1+$C$7)^(B29-1+C29))</f>
        <v>0</v>
      </c>
      <c r="E29" s="34" t="n">
        <f aca="false">IF(C29=0,0,(1-$C$11)^(B29-1)*(1-(1-$C$11)^C29))</f>
        <v>0</v>
      </c>
      <c r="F29" s="30" t="n">
        <f aca="false">$C$5*$C$13*E29*D29</f>
        <v>0</v>
      </c>
      <c r="G29" s="34" t="n">
        <f aca="false">IF(C29=0,0,(1-$D$11)^(B29-1)*(1-(1-$D$11)^C29))</f>
        <v>0</v>
      </c>
      <c r="H29" s="30" t="n">
        <f aca="false">$C$5*$D$13*G29*D29</f>
        <v>0</v>
      </c>
      <c r="I29" s="34" t="n">
        <f aca="false">IF(C29=0,0,(1-$E$11)^(B29-1)*(1-(1-$E$11)^C29))</f>
        <v>0</v>
      </c>
      <c r="J29" s="30" t="n">
        <f aca="false">$C$5*$E$13*I29*D29</f>
        <v>0</v>
      </c>
    </row>
    <row r="30" customFormat="false" ht="15" hidden="false" customHeight="false" outlineLevel="0" collapsed="false">
      <c r="B30" s="32" t="n">
        <v>14</v>
      </c>
      <c r="C30" s="61" t="n">
        <f aca="false">MAX(0,MIN(1,$C$6-(B30-1)))</f>
        <v>0</v>
      </c>
      <c r="D30" s="62" t="n">
        <f aca="false">IF(C30=0,0,1/(1+$C$7)^(B30-1+C30))</f>
        <v>0</v>
      </c>
      <c r="E30" s="34" t="n">
        <f aca="false">IF(C30=0,0,(1-$C$11)^(B30-1)*(1-(1-$C$11)^C30))</f>
        <v>0</v>
      </c>
      <c r="F30" s="30" t="n">
        <f aca="false">$C$5*$C$13*E30*D30</f>
        <v>0</v>
      </c>
      <c r="G30" s="34" t="n">
        <f aca="false">IF(C30=0,0,(1-$D$11)^(B30-1)*(1-(1-$D$11)^C30))</f>
        <v>0</v>
      </c>
      <c r="H30" s="30" t="n">
        <f aca="false">$C$5*$D$13*G30*D30</f>
        <v>0</v>
      </c>
      <c r="I30" s="34" t="n">
        <f aca="false">IF(C30=0,0,(1-$E$11)^(B30-1)*(1-(1-$E$11)^C30))</f>
        <v>0</v>
      </c>
      <c r="J30" s="30" t="n">
        <f aca="false">$C$5*$E$13*I30*D30</f>
        <v>0</v>
      </c>
    </row>
    <row r="31" customFormat="false" ht="15" hidden="false" customHeight="false" outlineLevel="0" collapsed="false">
      <c r="B31" s="32" t="n">
        <v>15</v>
      </c>
      <c r="C31" s="61" t="n">
        <f aca="false">MAX(0,MIN(1,$C$6-(B31-1)))</f>
        <v>0</v>
      </c>
      <c r="D31" s="62" t="n">
        <f aca="false">IF(C31=0,0,1/(1+$C$7)^(B31-1+C31))</f>
        <v>0</v>
      </c>
      <c r="E31" s="34" t="n">
        <f aca="false">IF(C31=0,0,(1-$C$11)^(B31-1)*(1-(1-$C$11)^C31))</f>
        <v>0</v>
      </c>
      <c r="F31" s="30" t="n">
        <f aca="false">$C$5*$C$13*E31*D31</f>
        <v>0</v>
      </c>
      <c r="G31" s="34" t="n">
        <f aca="false">IF(C31=0,0,(1-$D$11)^(B31-1)*(1-(1-$D$11)^C31))</f>
        <v>0</v>
      </c>
      <c r="H31" s="30" t="n">
        <f aca="false">$C$5*$D$13*G31*D31</f>
        <v>0</v>
      </c>
      <c r="I31" s="34" t="n">
        <f aca="false">IF(C31=0,0,(1-$E$11)^(B31-1)*(1-(1-$E$11)^C31))</f>
        <v>0</v>
      </c>
      <c r="J31" s="30" t="n">
        <f aca="false">$C$5*$E$13*I31*D31</f>
        <v>0</v>
      </c>
    </row>
    <row r="32" customFormat="false" ht="15" hidden="false" customHeight="false" outlineLevel="0" collapsed="false">
      <c r="B32" s="32" t="n">
        <v>16</v>
      </c>
      <c r="C32" s="61" t="n">
        <f aca="false">MAX(0,MIN(1,$C$6-(B32-1)))</f>
        <v>0</v>
      </c>
      <c r="D32" s="62" t="n">
        <f aca="false">IF(C32=0,0,1/(1+$C$7)^(B32-1+C32))</f>
        <v>0</v>
      </c>
      <c r="E32" s="34" t="n">
        <f aca="false">IF(C32=0,0,(1-$C$11)^(B32-1)*(1-(1-$C$11)^C32))</f>
        <v>0</v>
      </c>
      <c r="F32" s="30" t="n">
        <f aca="false">$C$5*$C$13*E32*D32</f>
        <v>0</v>
      </c>
      <c r="G32" s="34" t="n">
        <f aca="false">IF(C32=0,0,(1-$D$11)^(B32-1)*(1-(1-$D$11)^C32))</f>
        <v>0</v>
      </c>
      <c r="H32" s="30" t="n">
        <f aca="false">$C$5*$D$13*G32*D32</f>
        <v>0</v>
      </c>
      <c r="I32" s="34" t="n">
        <f aca="false">IF(C32=0,0,(1-$E$11)^(B32-1)*(1-(1-$E$11)^C32))</f>
        <v>0</v>
      </c>
      <c r="J32" s="30" t="n">
        <f aca="false">$C$5*$E$13*I32*D32</f>
        <v>0</v>
      </c>
    </row>
    <row r="33" customFormat="false" ht="15" hidden="false" customHeight="false" outlineLevel="0" collapsed="false">
      <c r="B33" s="32" t="n">
        <v>17</v>
      </c>
      <c r="C33" s="61" t="n">
        <f aca="false">MAX(0,MIN(1,$C$6-(B33-1)))</f>
        <v>0</v>
      </c>
      <c r="D33" s="62" t="n">
        <f aca="false">IF(C33=0,0,1/(1+$C$7)^(B33-1+C33))</f>
        <v>0</v>
      </c>
      <c r="E33" s="34" t="n">
        <f aca="false">IF(C33=0,0,(1-$C$11)^(B33-1)*(1-(1-$C$11)^C33))</f>
        <v>0</v>
      </c>
      <c r="F33" s="30" t="n">
        <f aca="false">$C$5*$C$13*E33*D33</f>
        <v>0</v>
      </c>
      <c r="G33" s="34" t="n">
        <f aca="false">IF(C33=0,0,(1-$D$11)^(B33-1)*(1-(1-$D$11)^C33))</f>
        <v>0</v>
      </c>
      <c r="H33" s="30" t="n">
        <f aca="false">$C$5*$D$13*G33*D33</f>
        <v>0</v>
      </c>
      <c r="I33" s="34" t="n">
        <f aca="false">IF(C33=0,0,(1-$E$11)^(B33-1)*(1-(1-$E$11)^C33))</f>
        <v>0</v>
      </c>
      <c r="J33" s="30" t="n">
        <f aca="false">$C$5*$E$13*I33*D33</f>
        <v>0</v>
      </c>
    </row>
    <row r="34" customFormat="false" ht="15" hidden="false" customHeight="false" outlineLevel="0" collapsed="false">
      <c r="B34" s="32" t="n">
        <v>18</v>
      </c>
      <c r="C34" s="61" t="n">
        <f aca="false">MAX(0,MIN(1,$C$6-(B34-1)))</f>
        <v>0</v>
      </c>
      <c r="D34" s="62" t="n">
        <f aca="false">IF(C34=0,0,1/(1+$C$7)^(B34-1+C34))</f>
        <v>0</v>
      </c>
      <c r="E34" s="34" t="n">
        <f aca="false">IF(C34=0,0,(1-$C$11)^(B34-1)*(1-(1-$C$11)^C34))</f>
        <v>0</v>
      </c>
      <c r="F34" s="30" t="n">
        <f aca="false">$C$5*$C$13*E34*D34</f>
        <v>0</v>
      </c>
      <c r="G34" s="34" t="n">
        <f aca="false">IF(C34=0,0,(1-$D$11)^(B34-1)*(1-(1-$D$11)^C34))</f>
        <v>0</v>
      </c>
      <c r="H34" s="30" t="n">
        <f aca="false">$C$5*$D$13*G34*D34</f>
        <v>0</v>
      </c>
      <c r="I34" s="34" t="n">
        <f aca="false">IF(C34=0,0,(1-$E$11)^(B34-1)*(1-(1-$E$11)^C34))</f>
        <v>0</v>
      </c>
      <c r="J34" s="30" t="n">
        <f aca="false">$C$5*$E$13*I34*D34</f>
        <v>0</v>
      </c>
    </row>
    <row r="35" customFormat="false" ht="15" hidden="false" customHeight="false" outlineLevel="0" collapsed="false">
      <c r="B35" s="32" t="n">
        <v>19</v>
      </c>
      <c r="C35" s="61" t="n">
        <f aca="false">MAX(0,MIN(1,$C$6-(B35-1)))</f>
        <v>0</v>
      </c>
      <c r="D35" s="62" t="n">
        <f aca="false">IF(C35=0,0,1/(1+$C$7)^(B35-1+C35))</f>
        <v>0</v>
      </c>
      <c r="E35" s="34" t="n">
        <f aca="false">IF(C35=0,0,(1-$C$11)^(B35-1)*(1-(1-$C$11)^C35))</f>
        <v>0</v>
      </c>
      <c r="F35" s="30" t="n">
        <f aca="false">$C$5*$C$13*E35*D35</f>
        <v>0</v>
      </c>
      <c r="G35" s="34" t="n">
        <f aca="false">IF(C35=0,0,(1-$D$11)^(B35-1)*(1-(1-$D$11)^C35))</f>
        <v>0</v>
      </c>
      <c r="H35" s="30" t="n">
        <f aca="false">$C$5*$D$13*G35*D35</f>
        <v>0</v>
      </c>
      <c r="I35" s="34" t="n">
        <f aca="false">IF(C35=0,0,(1-$E$11)^(B35-1)*(1-(1-$E$11)^C35))</f>
        <v>0</v>
      </c>
      <c r="J35" s="30" t="n">
        <f aca="false">$C$5*$E$13*I35*D35</f>
        <v>0</v>
      </c>
    </row>
    <row r="36" customFormat="false" ht="15" hidden="false" customHeight="false" outlineLevel="0" collapsed="false">
      <c r="B36" s="32" t="n">
        <v>20</v>
      </c>
      <c r="C36" s="61" t="n">
        <f aca="false">MAX(0,MIN(1,$C$6-(B36-1)))</f>
        <v>0</v>
      </c>
      <c r="D36" s="62" t="n">
        <f aca="false">IF(C36=0,0,1/(1+$C$7)^(B36-1+C36))</f>
        <v>0</v>
      </c>
      <c r="E36" s="34" t="n">
        <f aca="false">IF(C36=0,0,(1-$C$11)^(B36-1)*(1-(1-$C$11)^C36))</f>
        <v>0</v>
      </c>
      <c r="F36" s="30" t="n">
        <f aca="false">$C$5*$C$13*E36*D36</f>
        <v>0</v>
      </c>
      <c r="G36" s="34" t="n">
        <f aca="false">IF(C36=0,0,(1-$D$11)^(B36-1)*(1-(1-$D$11)^C36))</f>
        <v>0</v>
      </c>
      <c r="H36" s="30" t="n">
        <f aca="false">$C$5*$D$13*G36*D36</f>
        <v>0</v>
      </c>
      <c r="I36" s="34" t="n">
        <f aca="false">IF(C36=0,0,(1-$E$11)^(B36-1)*(1-(1-$E$11)^C36))</f>
        <v>0</v>
      </c>
      <c r="J36" s="30" t="n">
        <f aca="false">$C$5*$E$13*I36*D36</f>
        <v>0</v>
      </c>
    </row>
    <row r="37" customFormat="false" ht="15" hidden="false" customHeight="false" outlineLevel="0" collapsed="false">
      <c r="B37" s="32" t="n">
        <v>21</v>
      </c>
      <c r="C37" s="61" t="n">
        <f aca="false">MAX(0,MIN(1,$C$6-(B37-1)))</f>
        <v>0</v>
      </c>
      <c r="D37" s="62" t="n">
        <f aca="false">IF(C37=0,0,1/(1+$C$7)^(B37-1+C37))</f>
        <v>0</v>
      </c>
      <c r="E37" s="34" t="n">
        <f aca="false">IF(C37=0,0,(1-$C$11)^(B37-1)*(1-(1-$C$11)^C37))</f>
        <v>0</v>
      </c>
      <c r="F37" s="30" t="n">
        <f aca="false">$C$5*$C$13*E37*D37</f>
        <v>0</v>
      </c>
      <c r="G37" s="34" t="n">
        <f aca="false">IF(C37=0,0,(1-$D$11)^(B37-1)*(1-(1-$D$11)^C37))</f>
        <v>0</v>
      </c>
      <c r="H37" s="30" t="n">
        <f aca="false">$C$5*$D$13*G37*D37</f>
        <v>0</v>
      </c>
      <c r="I37" s="34" t="n">
        <f aca="false">IF(C37=0,0,(1-$E$11)^(B37-1)*(1-(1-$E$11)^C37))</f>
        <v>0</v>
      </c>
      <c r="J37" s="30" t="n">
        <f aca="false">$C$5*$E$13*I37*D37</f>
        <v>0</v>
      </c>
    </row>
    <row r="38" customFormat="false" ht="15" hidden="false" customHeight="false" outlineLevel="0" collapsed="false">
      <c r="B38" s="32" t="n">
        <v>22</v>
      </c>
      <c r="C38" s="61" t="n">
        <f aca="false">MAX(0,MIN(1,$C$6-(B38-1)))</f>
        <v>0</v>
      </c>
      <c r="D38" s="62" t="n">
        <f aca="false">IF(C38=0,0,1/(1+$C$7)^(B38-1+C38))</f>
        <v>0</v>
      </c>
      <c r="E38" s="34" t="n">
        <f aca="false">IF(C38=0,0,(1-$C$11)^(B38-1)*(1-(1-$C$11)^C38))</f>
        <v>0</v>
      </c>
      <c r="F38" s="30" t="n">
        <f aca="false">$C$5*$C$13*E38*D38</f>
        <v>0</v>
      </c>
      <c r="G38" s="34" t="n">
        <f aca="false">IF(C38=0,0,(1-$D$11)^(B38-1)*(1-(1-$D$11)^C38))</f>
        <v>0</v>
      </c>
      <c r="H38" s="30" t="n">
        <f aca="false">$C$5*$D$13*G38*D38</f>
        <v>0</v>
      </c>
      <c r="I38" s="34" t="n">
        <f aca="false">IF(C38=0,0,(1-$E$11)^(B38-1)*(1-(1-$E$11)^C38))</f>
        <v>0</v>
      </c>
      <c r="J38" s="30" t="n">
        <f aca="false">$C$5*$E$13*I38*D38</f>
        <v>0</v>
      </c>
    </row>
    <row r="39" customFormat="false" ht="15" hidden="false" customHeight="false" outlineLevel="0" collapsed="false">
      <c r="B39" s="32" t="n">
        <v>23</v>
      </c>
      <c r="C39" s="61" t="n">
        <f aca="false">MAX(0,MIN(1,$C$6-(B39-1)))</f>
        <v>0</v>
      </c>
      <c r="D39" s="62" t="n">
        <f aca="false">IF(C39=0,0,1/(1+$C$7)^(B39-1+C39))</f>
        <v>0</v>
      </c>
      <c r="E39" s="34" t="n">
        <f aca="false">IF(C39=0,0,(1-$C$11)^(B39-1)*(1-(1-$C$11)^C39))</f>
        <v>0</v>
      </c>
      <c r="F39" s="30" t="n">
        <f aca="false">$C$5*$C$13*E39*D39</f>
        <v>0</v>
      </c>
      <c r="G39" s="34" t="n">
        <f aca="false">IF(C39=0,0,(1-$D$11)^(B39-1)*(1-(1-$D$11)^C39))</f>
        <v>0</v>
      </c>
      <c r="H39" s="30" t="n">
        <f aca="false">$C$5*$D$13*G39*D39</f>
        <v>0</v>
      </c>
      <c r="I39" s="34" t="n">
        <f aca="false">IF(C39=0,0,(1-$E$11)^(B39-1)*(1-(1-$E$11)^C39))</f>
        <v>0</v>
      </c>
      <c r="J39" s="30" t="n">
        <f aca="false">$C$5*$E$13*I39*D39</f>
        <v>0</v>
      </c>
    </row>
    <row r="40" customFormat="false" ht="15" hidden="false" customHeight="false" outlineLevel="0" collapsed="false">
      <c r="B40" s="32" t="n">
        <v>24</v>
      </c>
      <c r="C40" s="61" t="n">
        <f aca="false">MAX(0,MIN(1,$C$6-(B40-1)))</f>
        <v>0</v>
      </c>
      <c r="D40" s="62" t="n">
        <f aca="false">IF(C40=0,0,1/(1+$C$7)^(B40-1+C40))</f>
        <v>0</v>
      </c>
      <c r="E40" s="34" t="n">
        <f aca="false">IF(C40=0,0,(1-$C$11)^(B40-1)*(1-(1-$C$11)^C40))</f>
        <v>0</v>
      </c>
      <c r="F40" s="30" t="n">
        <f aca="false">$C$5*$C$13*E40*D40</f>
        <v>0</v>
      </c>
      <c r="G40" s="34" t="n">
        <f aca="false">IF(C40=0,0,(1-$D$11)^(B40-1)*(1-(1-$D$11)^C40))</f>
        <v>0</v>
      </c>
      <c r="H40" s="30" t="n">
        <f aca="false">$C$5*$D$13*G40*D40</f>
        <v>0</v>
      </c>
      <c r="I40" s="34" t="n">
        <f aca="false">IF(C40=0,0,(1-$E$11)^(B40-1)*(1-(1-$E$11)^C40))</f>
        <v>0</v>
      </c>
      <c r="J40" s="30" t="n">
        <f aca="false">$C$5*$E$13*I40*D40</f>
        <v>0</v>
      </c>
    </row>
    <row r="41" customFormat="false" ht="15" hidden="false" customHeight="false" outlineLevel="0" collapsed="false">
      <c r="B41" s="32" t="n">
        <v>25</v>
      </c>
      <c r="C41" s="61" t="n">
        <f aca="false">MAX(0,MIN(1,$C$6-(B41-1)))</f>
        <v>0</v>
      </c>
      <c r="D41" s="62" t="n">
        <f aca="false">IF(C41=0,0,1/(1+$C$7)^(B41-1+C41))</f>
        <v>0</v>
      </c>
      <c r="E41" s="34" t="n">
        <f aca="false">IF(C41=0,0,(1-$C$11)^(B41-1)*(1-(1-$C$11)^C41))</f>
        <v>0</v>
      </c>
      <c r="F41" s="30" t="n">
        <f aca="false">$C$5*$C$13*E41*D41</f>
        <v>0</v>
      </c>
      <c r="G41" s="34" t="n">
        <f aca="false">IF(C41=0,0,(1-$D$11)^(B41-1)*(1-(1-$D$11)^C41))</f>
        <v>0</v>
      </c>
      <c r="H41" s="30" t="n">
        <f aca="false">$C$5*$D$13*G41*D41</f>
        <v>0</v>
      </c>
      <c r="I41" s="34" t="n">
        <f aca="false">IF(C41=0,0,(1-$E$11)^(B41-1)*(1-(1-$E$11)^C41))</f>
        <v>0</v>
      </c>
      <c r="J41" s="30" t="n">
        <f aca="false">$C$5*$E$13*I41*D41</f>
        <v>0</v>
      </c>
    </row>
    <row r="42" customFormat="false" ht="15" hidden="false" customHeight="false" outlineLevel="0" collapsed="false">
      <c r="B42" s="32" t="n">
        <v>26</v>
      </c>
      <c r="C42" s="61" t="n">
        <f aca="false">MAX(0,MIN(1,$C$6-(B42-1)))</f>
        <v>0</v>
      </c>
      <c r="D42" s="62" t="n">
        <f aca="false">IF(C42=0,0,1/(1+$C$7)^(B42-1+C42))</f>
        <v>0</v>
      </c>
      <c r="E42" s="34" t="n">
        <f aca="false">IF(C42=0,0,(1-$C$11)^(B42-1)*(1-(1-$C$11)^C42))</f>
        <v>0</v>
      </c>
      <c r="F42" s="30" t="n">
        <f aca="false">$C$5*$C$13*E42*D42</f>
        <v>0</v>
      </c>
      <c r="G42" s="34" t="n">
        <f aca="false">IF(C42=0,0,(1-$D$11)^(B42-1)*(1-(1-$D$11)^C42))</f>
        <v>0</v>
      </c>
      <c r="H42" s="30" t="n">
        <f aca="false">$C$5*$D$13*G42*D42</f>
        <v>0</v>
      </c>
      <c r="I42" s="34" t="n">
        <f aca="false">IF(C42=0,0,(1-$E$11)^(B42-1)*(1-(1-$E$11)^C42))</f>
        <v>0</v>
      </c>
      <c r="J42" s="30" t="n">
        <f aca="false">$C$5*$E$13*I42*D42</f>
        <v>0</v>
      </c>
    </row>
    <row r="43" customFormat="false" ht="15" hidden="false" customHeight="false" outlineLevel="0" collapsed="false">
      <c r="B43" s="32" t="n">
        <v>27</v>
      </c>
      <c r="C43" s="61" t="n">
        <f aca="false">MAX(0,MIN(1,$C$6-(B43-1)))</f>
        <v>0</v>
      </c>
      <c r="D43" s="62" t="n">
        <f aca="false">IF(C43=0,0,1/(1+$C$7)^(B43-1+C43))</f>
        <v>0</v>
      </c>
      <c r="E43" s="34" t="n">
        <f aca="false">IF(C43=0,0,(1-$C$11)^(B43-1)*(1-(1-$C$11)^C43))</f>
        <v>0</v>
      </c>
      <c r="F43" s="30" t="n">
        <f aca="false">$C$5*$C$13*E43*D43</f>
        <v>0</v>
      </c>
      <c r="G43" s="34" t="n">
        <f aca="false">IF(C43=0,0,(1-$D$11)^(B43-1)*(1-(1-$D$11)^C43))</f>
        <v>0</v>
      </c>
      <c r="H43" s="30" t="n">
        <f aca="false">$C$5*$D$13*G43*D43</f>
        <v>0</v>
      </c>
      <c r="I43" s="34" t="n">
        <f aca="false">IF(C43=0,0,(1-$E$11)^(B43-1)*(1-(1-$E$11)^C43))</f>
        <v>0</v>
      </c>
      <c r="J43" s="30" t="n">
        <f aca="false">$C$5*$E$13*I43*D43</f>
        <v>0</v>
      </c>
    </row>
    <row r="44" customFormat="false" ht="15" hidden="false" customHeight="false" outlineLevel="0" collapsed="false">
      <c r="B44" s="32" t="n">
        <v>28</v>
      </c>
      <c r="C44" s="61" t="n">
        <f aca="false">MAX(0,MIN(1,$C$6-(B44-1)))</f>
        <v>0</v>
      </c>
      <c r="D44" s="62" t="n">
        <f aca="false">IF(C44=0,0,1/(1+$C$7)^(B44-1+C44))</f>
        <v>0</v>
      </c>
      <c r="E44" s="34" t="n">
        <f aca="false">IF(C44=0,0,(1-$C$11)^(B44-1)*(1-(1-$C$11)^C44))</f>
        <v>0</v>
      </c>
      <c r="F44" s="30" t="n">
        <f aca="false">$C$5*$C$13*E44*D44</f>
        <v>0</v>
      </c>
      <c r="G44" s="34" t="n">
        <f aca="false">IF(C44=0,0,(1-$D$11)^(B44-1)*(1-(1-$D$11)^C44))</f>
        <v>0</v>
      </c>
      <c r="H44" s="30" t="n">
        <f aca="false">$C$5*$D$13*G44*D44</f>
        <v>0</v>
      </c>
      <c r="I44" s="34" t="n">
        <f aca="false">IF(C44=0,0,(1-$E$11)^(B44-1)*(1-(1-$E$11)^C44))</f>
        <v>0</v>
      </c>
      <c r="J44" s="30" t="n">
        <f aca="false">$C$5*$E$13*I44*D44</f>
        <v>0</v>
      </c>
    </row>
    <row r="45" customFormat="false" ht="15" hidden="false" customHeight="false" outlineLevel="0" collapsed="false">
      <c r="B45" s="32" t="n">
        <v>29</v>
      </c>
      <c r="C45" s="61" t="n">
        <f aca="false">MAX(0,MIN(1,$C$6-(B45-1)))</f>
        <v>0</v>
      </c>
      <c r="D45" s="62" t="n">
        <f aca="false">IF(C45=0,0,1/(1+$C$7)^(B45-1+C45))</f>
        <v>0</v>
      </c>
      <c r="E45" s="34" t="n">
        <f aca="false">IF(C45=0,0,(1-$C$11)^(B45-1)*(1-(1-$C$11)^C45))</f>
        <v>0</v>
      </c>
      <c r="F45" s="30" t="n">
        <f aca="false">$C$5*$C$13*E45*D45</f>
        <v>0</v>
      </c>
      <c r="G45" s="34" t="n">
        <f aca="false">IF(C45=0,0,(1-$D$11)^(B45-1)*(1-(1-$D$11)^C45))</f>
        <v>0</v>
      </c>
      <c r="H45" s="30" t="n">
        <f aca="false">$C$5*$D$13*G45*D45</f>
        <v>0</v>
      </c>
      <c r="I45" s="34" t="n">
        <f aca="false">IF(C45=0,0,(1-$E$11)^(B45-1)*(1-(1-$E$11)^C45))</f>
        <v>0</v>
      </c>
      <c r="J45" s="30" t="n">
        <f aca="false">$C$5*$E$13*I45*D45</f>
        <v>0</v>
      </c>
    </row>
    <row r="46" customFormat="false" ht="15" hidden="false" customHeight="false" outlineLevel="0" collapsed="false">
      <c r="B46" s="32" t="n">
        <v>30</v>
      </c>
      <c r="C46" s="61" t="n">
        <f aca="false">MAX(0,MIN(1,$C$6-(B46-1)))</f>
        <v>0</v>
      </c>
      <c r="D46" s="62" t="n">
        <f aca="false">IF(C46=0,0,1/(1+$C$7)^(B46-1+C46))</f>
        <v>0</v>
      </c>
      <c r="E46" s="34" t="n">
        <f aca="false">IF(C46=0,0,(1-$C$11)^(B46-1)*(1-(1-$C$11)^C46))</f>
        <v>0</v>
      </c>
      <c r="F46" s="30" t="n">
        <f aca="false">$C$5*$C$13*E46*D46</f>
        <v>0</v>
      </c>
      <c r="G46" s="34" t="n">
        <f aca="false">IF(C46=0,0,(1-$D$11)^(B46-1)*(1-(1-$D$11)^C46))</f>
        <v>0</v>
      </c>
      <c r="H46" s="30" t="n">
        <f aca="false">$C$5*$D$13*G46*D46</f>
        <v>0</v>
      </c>
      <c r="I46" s="34" t="n">
        <f aca="false">IF(C46=0,0,(1-$E$11)^(B46-1)*(1-(1-$E$11)^C46))</f>
        <v>0</v>
      </c>
      <c r="J46" s="30" t="n">
        <f aca="false">$C$5*$E$13*I46*D46</f>
        <v>0</v>
      </c>
    </row>
    <row r="47" customFormat="false" ht="15" hidden="false" customHeight="false" outlineLevel="0" collapsed="false">
      <c r="B47" s="32" t="n">
        <v>31</v>
      </c>
      <c r="C47" s="61" t="n">
        <f aca="false">MAX(0,MIN(1,$C$6-(B47-1)))</f>
        <v>0</v>
      </c>
      <c r="D47" s="62" t="n">
        <f aca="false">IF(C47=0,0,1/(1+$C$7)^(B47-1+C47))</f>
        <v>0</v>
      </c>
      <c r="E47" s="34" t="n">
        <f aca="false">IF(C47=0,0,(1-$C$11)^(B47-1)*(1-(1-$C$11)^C47))</f>
        <v>0</v>
      </c>
      <c r="F47" s="30" t="n">
        <f aca="false">$C$5*$C$13*E47*D47</f>
        <v>0</v>
      </c>
      <c r="G47" s="34" t="n">
        <f aca="false">IF(C47=0,0,(1-$D$11)^(B47-1)*(1-(1-$D$11)^C47))</f>
        <v>0</v>
      </c>
      <c r="H47" s="30" t="n">
        <f aca="false">$C$5*$D$13*G47*D47</f>
        <v>0</v>
      </c>
      <c r="I47" s="34" t="n">
        <f aca="false">IF(C47=0,0,(1-$E$11)^(B47-1)*(1-(1-$E$11)^C47))</f>
        <v>0</v>
      </c>
      <c r="J47" s="30" t="n">
        <f aca="false">$C$5*$E$13*I47*D47</f>
        <v>0</v>
      </c>
    </row>
    <row r="48" customFormat="false" ht="15" hidden="false" customHeight="false" outlineLevel="0" collapsed="false">
      <c r="B48" s="32" t="n">
        <v>32</v>
      </c>
      <c r="C48" s="61" t="n">
        <f aca="false">MAX(0,MIN(1,$C$6-(B48-1)))</f>
        <v>0</v>
      </c>
      <c r="D48" s="62" t="n">
        <f aca="false">IF(C48=0,0,1/(1+$C$7)^(B48-1+C48))</f>
        <v>0</v>
      </c>
      <c r="E48" s="34" t="n">
        <f aca="false">IF(C48=0,0,(1-$C$11)^(B48-1)*(1-(1-$C$11)^C48))</f>
        <v>0</v>
      </c>
      <c r="F48" s="30" t="n">
        <f aca="false">$C$5*$C$13*E48*D48</f>
        <v>0</v>
      </c>
      <c r="G48" s="34" t="n">
        <f aca="false">IF(C48=0,0,(1-$D$11)^(B48-1)*(1-(1-$D$11)^C48))</f>
        <v>0</v>
      </c>
      <c r="H48" s="30" t="n">
        <f aca="false">$C$5*$D$13*G48*D48</f>
        <v>0</v>
      </c>
      <c r="I48" s="34" t="n">
        <f aca="false">IF(C48=0,0,(1-$E$11)^(B48-1)*(1-(1-$E$11)^C48))</f>
        <v>0</v>
      </c>
      <c r="J48" s="30" t="n">
        <f aca="false">$C$5*$E$13*I48*D48</f>
        <v>0</v>
      </c>
    </row>
    <row r="49" customFormat="false" ht="15" hidden="false" customHeight="false" outlineLevel="0" collapsed="false">
      <c r="B49" s="32" t="n">
        <v>33</v>
      </c>
      <c r="C49" s="61" t="n">
        <f aca="false">MAX(0,MIN(1,$C$6-(B49-1)))</f>
        <v>0</v>
      </c>
      <c r="D49" s="62" t="n">
        <f aca="false">IF(C49=0,0,1/(1+$C$7)^(B49-1+C49))</f>
        <v>0</v>
      </c>
      <c r="E49" s="34" t="n">
        <f aca="false">IF(C49=0,0,(1-$C$11)^(B49-1)*(1-(1-$C$11)^C49))</f>
        <v>0</v>
      </c>
      <c r="F49" s="30" t="n">
        <f aca="false">$C$5*$C$13*E49*D49</f>
        <v>0</v>
      </c>
      <c r="G49" s="34" t="n">
        <f aca="false">IF(C49=0,0,(1-$D$11)^(B49-1)*(1-(1-$D$11)^C49))</f>
        <v>0</v>
      </c>
      <c r="H49" s="30" t="n">
        <f aca="false">$C$5*$D$13*G49*D49</f>
        <v>0</v>
      </c>
      <c r="I49" s="34" t="n">
        <f aca="false">IF(C49=0,0,(1-$E$11)^(B49-1)*(1-(1-$E$11)^C49))</f>
        <v>0</v>
      </c>
      <c r="J49" s="30" t="n">
        <f aca="false">$C$5*$E$13*I49*D49</f>
        <v>0</v>
      </c>
    </row>
    <row r="50" customFormat="false" ht="15" hidden="false" customHeight="false" outlineLevel="0" collapsed="false">
      <c r="B50" s="32" t="n">
        <v>34</v>
      </c>
      <c r="C50" s="61" t="n">
        <f aca="false">MAX(0,MIN(1,$C$6-(B50-1)))</f>
        <v>0</v>
      </c>
      <c r="D50" s="62" t="n">
        <f aca="false">IF(C50=0,0,1/(1+$C$7)^(B50-1+C50))</f>
        <v>0</v>
      </c>
      <c r="E50" s="34" t="n">
        <f aca="false">IF(C50=0,0,(1-$C$11)^(B50-1)*(1-(1-$C$11)^C50))</f>
        <v>0</v>
      </c>
      <c r="F50" s="30" t="n">
        <f aca="false">$C$5*$C$13*E50*D50</f>
        <v>0</v>
      </c>
      <c r="G50" s="34" t="n">
        <f aca="false">IF(C50=0,0,(1-$D$11)^(B50-1)*(1-(1-$D$11)^C50))</f>
        <v>0</v>
      </c>
      <c r="H50" s="30" t="n">
        <f aca="false">$C$5*$D$13*G50*D50</f>
        <v>0</v>
      </c>
      <c r="I50" s="34" t="n">
        <f aca="false">IF(C50=0,0,(1-$E$11)^(B50-1)*(1-(1-$E$11)^C50))</f>
        <v>0</v>
      </c>
      <c r="J50" s="30" t="n">
        <f aca="false">$C$5*$E$13*I50*D50</f>
        <v>0</v>
      </c>
    </row>
    <row r="51" customFormat="false" ht="15" hidden="false" customHeight="false" outlineLevel="0" collapsed="false">
      <c r="B51" s="32" t="n">
        <v>35</v>
      </c>
      <c r="C51" s="61" t="n">
        <f aca="false">MAX(0,MIN(1,$C$6-(B51-1)))</f>
        <v>0</v>
      </c>
      <c r="D51" s="62" t="n">
        <f aca="false">IF(C51=0,0,1/(1+$C$7)^(B51-1+C51))</f>
        <v>0</v>
      </c>
      <c r="E51" s="34" t="n">
        <f aca="false">IF(C51=0,0,(1-$C$11)^(B51-1)*(1-(1-$C$11)^C51))</f>
        <v>0</v>
      </c>
      <c r="F51" s="30" t="n">
        <f aca="false">$C$5*$C$13*E51*D51</f>
        <v>0</v>
      </c>
      <c r="G51" s="34" t="n">
        <f aca="false">IF(C51=0,0,(1-$D$11)^(B51-1)*(1-(1-$D$11)^C51))</f>
        <v>0</v>
      </c>
      <c r="H51" s="30" t="n">
        <f aca="false">$C$5*$D$13*G51*D51</f>
        <v>0</v>
      </c>
      <c r="I51" s="34" t="n">
        <f aca="false">IF(C51=0,0,(1-$E$11)^(B51-1)*(1-(1-$E$11)^C51))</f>
        <v>0</v>
      </c>
      <c r="J51" s="30" t="n">
        <f aca="false">$C$5*$E$13*I51*D51</f>
        <v>0</v>
      </c>
    </row>
    <row r="52" customFormat="false" ht="15" hidden="false" customHeight="false" outlineLevel="0" collapsed="false">
      <c r="B52" s="32" t="n">
        <v>36</v>
      </c>
      <c r="C52" s="61" t="n">
        <f aca="false">MAX(0,MIN(1,$C$6-(B52-1)))</f>
        <v>0</v>
      </c>
      <c r="D52" s="62" t="n">
        <f aca="false">IF(C52=0,0,1/(1+$C$7)^(B52-1+C52))</f>
        <v>0</v>
      </c>
      <c r="E52" s="34" t="n">
        <f aca="false">IF(C52=0,0,(1-$C$11)^(B52-1)*(1-(1-$C$11)^C52))</f>
        <v>0</v>
      </c>
      <c r="F52" s="30" t="n">
        <f aca="false">$C$5*$C$13*E52*D52</f>
        <v>0</v>
      </c>
      <c r="G52" s="34" t="n">
        <f aca="false">IF(C52=0,0,(1-$D$11)^(B52-1)*(1-(1-$D$11)^C52))</f>
        <v>0</v>
      </c>
      <c r="H52" s="30" t="n">
        <f aca="false">$C$5*$D$13*G52*D52</f>
        <v>0</v>
      </c>
      <c r="I52" s="34" t="n">
        <f aca="false">IF(C52=0,0,(1-$E$11)^(B52-1)*(1-(1-$E$11)^C52))</f>
        <v>0</v>
      </c>
      <c r="J52" s="30" t="n">
        <f aca="false">$C$5*$E$13*I52*D52</f>
        <v>0</v>
      </c>
    </row>
    <row r="53" customFormat="false" ht="15" hidden="false" customHeight="false" outlineLevel="0" collapsed="false">
      <c r="B53" s="32" t="n">
        <v>37</v>
      </c>
      <c r="C53" s="61" t="n">
        <f aca="false">MAX(0,MIN(1,$C$6-(B53-1)))</f>
        <v>0</v>
      </c>
      <c r="D53" s="62" t="n">
        <f aca="false">IF(C53=0,0,1/(1+$C$7)^(B53-1+C53))</f>
        <v>0</v>
      </c>
      <c r="E53" s="34" t="n">
        <f aca="false">IF(C53=0,0,(1-$C$11)^(B53-1)*(1-(1-$C$11)^C53))</f>
        <v>0</v>
      </c>
      <c r="F53" s="30" t="n">
        <f aca="false">$C$5*$C$13*E53*D53</f>
        <v>0</v>
      </c>
      <c r="G53" s="34" t="n">
        <f aca="false">IF(C53=0,0,(1-$D$11)^(B53-1)*(1-(1-$D$11)^C53))</f>
        <v>0</v>
      </c>
      <c r="H53" s="30" t="n">
        <f aca="false">$C$5*$D$13*G53*D53</f>
        <v>0</v>
      </c>
      <c r="I53" s="34" t="n">
        <f aca="false">IF(C53=0,0,(1-$E$11)^(B53-1)*(1-(1-$E$11)^C53))</f>
        <v>0</v>
      </c>
      <c r="J53" s="30" t="n">
        <f aca="false">$C$5*$E$13*I53*D53</f>
        <v>0</v>
      </c>
    </row>
    <row r="54" customFormat="false" ht="15" hidden="false" customHeight="false" outlineLevel="0" collapsed="false">
      <c r="B54" s="32" t="n">
        <v>38</v>
      </c>
      <c r="C54" s="61" t="n">
        <f aca="false">MAX(0,MIN(1,$C$6-(B54-1)))</f>
        <v>0</v>
      </c>
      <c r="D54" s="62" t="n">
        <f aca="false">IF(C54=0,0,1/(1+$C$7)^(B54-1+C54))</f>
        <v>0</v>
      </c>
      <c r="E54" s="34" t="n">
        <f aca="false">IF(C54=0,0,(1-$C$11)^(B54-1)*(1-(1-$C$11)^C54))</f>
        <v>0</v>
      </c>
      <c r="F54" s="30" t="n">
        <f aca="false">$C$5*$C$13*E54*D54</f>
        <v>0</v>
      </c>
      <c r="G54" s="34" t="n">
        <f aca="false">IF(C54=0,0,(1-$D$11)^(B54-1)*(1-(1-$D$11)^C54))</f>
        <v>0</v>
      </c>
      <c r="H54" s="30" t="n">
        <f aca="false">$C$5*$D$13*G54*D54</f>
        <v>0</v>
      </c>
      <c r="I54" s="34" t="n">
        <f aca="false">IF(C54=0,0,(1-$E$11)^(B54-1)*(1-(1-$E$11)^C54))</f>
        <v>0</v>
      </c>
      <c r="J54" s="30" t="n">
        <f aca="false">$C$5*$E$13*I54*D54</f>
        <v>0</v>
      </c>
    </row>
    <row r="55" customFormat="false" ht="15" hidden="false" customHeight="false" outlineLevel="0" collapsed="false">
      <c r="B55" s="32" t="n">
        <v>39</v>
      </c>
      <c r="C55" s="61" t="n">
        <f aca="false">MAX(0,MIN(1,$C$6-(B55-1)))</f>
        <v>0</v>
      </c>
      <c r="D55" s="62" t="n">
        <f aca="false">IF(C55=0,0,1/(1+$C$7)^(B55-1+C55))</f>
        <v>0</v>
      </c>
      <c r="E55" s="34" t="n">
        <f aca="false">IF(C55=0,0,(1-$C$11)^(B55-1)*(1-(1-$C$11)^C55))</f>
        <v>0</v>
      </c>
      <c r="F55" s="30" t="n">
        <f aca="false">$C$5*$C$13*E55*D55</f>
        <v>0</v>
      </c>
      <c r="G55" s="34" t="n">
        <f aca="false">IF(C55=0,0,(1-$D$11)^(B55-1)*(1-(1-$D$11)^C55))</f>
        <v>0</v>
      </c>
      <c r="H55" s="30" t="n">
        <f aca="false">$C$5*$D$13*G55*D55</f>
        <v>0</v>
      </c>
      <c r="I55" s="34" t="n">
        <f aca="false">IF(C55=0,0,(1-$E$11)^(B55-1)*(1-(1-$E$11)^C55))</f>
        <v>0</v>
      </c>
      <c r="J55" s="30" t="n">
        <f aca="false">$C$5*$E$13*I55*D55</f>
        <v>0</v>
      </c>
    </row>
    <row r="56" customFormat="false" ht="15" hidden="false" customHeight="false" outlineLevel="0" collapsed="false">
      <c r="B56" s="32" t="n">
        <v>40</v>
      </c>
      <c r="C56" s="61" t="n">
        <f aca="false">MAX(0,MIN(1,$C$6-(B56-1)))</f>
        <v>0</v>
      </c>
      <c r="D56" s="62" t="n">
        <f aca="false">IF(C56=0,0,1/(1+$C$7)^(B56-1+C56))</f>
        <v>0</v>
      </c>
      <c r="E56" s="34" t="n">
        <f aca="false">IF(C56=0,0,(1-$C$11)^(B56-1)*(1-(1-$C$11)^C56))</f>
        <v>0</v>
      </c>
      <c r="F56" s="30" t="n">
        <f aca="false">$C$5*$C$13*E56*D56</f>
        <v>0</v>
      </c>
      <c r="G56" s="34" t="n">
        <f aca="false">IF(C56=0,0,(1-$D$11)^(B56-1)*(1-(1-$D$11)^C56))</f>
        <v>0</v>
      </c>
      <c r="H56" s="30" t="n">
        <f aca="false">$C$5*$D$13*G56*D56</f>
        <v>0</v>
      </c>
      <c r="I56" s="34" t="n">
        <f aca="false">IF(C56=0,0,(1-$E$11)^(B56-1)*(1-(1-$E$11)^C56))</f>
        <v>0</v>
      </c>
      <c r="J56" s="30" t="n">
        <f aca="false">$C$5*$E$13*I56*D56</f>
        <v>0</v>
      </c>
    </row>
    <row r="58" customFormat="false" ht="15" hidden="false" customHeight="false" outlineLevel="0" collapsed="false">
      <c r="B58" s="38" t="s">
        <v>238</v>
      </c>
    </row>
  </sheetData>
  <dataValidations count="1">
    <dataValidation allowBlank="true" error="Pick a value from the list" errorStyle="stop" operator="between" showDropDown="false" showErrorMessage="true" showInputMessage="false" sqref="C3" type="list">
      <formula1>Portfolio!$A$6:$A$55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2026-10-21T06:38:26Z</dcterms:created>
  <dc:creator>openpyxl</dc:creator>
  <dc:description/>
  <dc:language>en-US</dc:language>
  <cp:lastModifiedBy/>
  <dcterms:modified xsi:type="dcterms:W3CDTF">2026-10-21T06:38:26Z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